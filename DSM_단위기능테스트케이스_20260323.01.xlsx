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tech\Downloads\"/>
    </mc:Choice>
  </mc:AlternateContent>
  <xr:revisionPtr revIDLastSave="0" documentId="13_ncr:1_{064FFDFD-F972-4AC8-9506-D12DB8C5EDC2}" xr6:coauthVersionLast="47" xr6:coauthVersionMax="47" xr10:uidLastSave="{00000000-0000-0000-0000-000000000000}"/>
  <bookViews>
    <workbookView xWindow="9585" yWindow="2430" windowWidth="26190" windowHeight="12300" xr2:uid="{00000000-000D-0000-FFFF-FFFF00000000}"/>
  </bookViews>
  <sheets>
    <sheet name="테스트 케이스 매트릭스" sheetId="1" r:id="rId1"/>
    <sheet name="진행 현황" sheetId="2" r:id="rId2"/>
    <sheet name="컬럼 가이드" sheetId="3" r:id="rId3"/>
  </sheets>
  <calcPr calcId="191029"/>
</workbook>
</file>

<file path=xl/calcChain.xml><?xml version="1.0" encoding="utf-8"?>
<calcChain xmlns="http://schemas.openxmlformats.org/spreadsheetml/2006/main">
  <c r="B11" i="2" l="1"/>
  <c r="E7" i="2"/>
  <c r="D7" i="2"/>
  <c r="F7" i="2" s="1"/>
  <c r="C7" i="2"/>
  <c r="B7" i="2"/>
  <c r="E6" i="2"/>
  <c r="D6" i="2"/>
  <c r="F6" i="2" s="1"/>
  <c r="C6" i="2"/>
  <c r="B6" i="2"/>
  <c r="E5" i="2"/>
  <c r="D5" i="2"/>
  <c r="C5" i="2"/>
  <c r="B5" i="2"/>
  <c r="F5" i="2" s="1"/>
  <c r="E4" i="2"/>
  <c r="E8" i="2" s="1"/>
  <c r="D4" i="2"/>
  <c r="F4" i="2" s="1"/>
  <c r="C4" i="2"/>
  <c r="C8" i="2" s="1"/>
  <c r="B4" i="2"/>
  <c r="B8" i="2" s="1"/>
  <c r="D8" i="2" l="1"/>
  <c r="F8" i="2" s="1"/>
</calcChain>
</file>

<file path=xl/sharedStrings.xml><?xml version="1.0" encoding="utf-8"?>
<sst xmlns="http://schemas.openxmlformats.org/spreadsheetml/2006/main" count="827" uniqueCount="402">
  <si>
    <t>식별</t>
  </si>
  <si>
    <t>시나리오</t>
  </si>
  <si>
    <t>Vitest</t>
  </si>
  <si>
    <t>VitePress Playground</t>
  </si>
  <si>
    <t>결과 / 조치</t>
  </si>
  <si>
    <t>TC_ID</t>
  </si>
  <si>
    <t>Layer</t>
  </si>
  <si>
    <t>대상 모듈</t>
  </si>
  <si>
    <t>기능 구분</t>
  </si>
  <si>
    <t>테스트 케이스명</t>
  </si>
  <si>
    <t>시나리오 설명</t>
  </si>
  <si>
    <t>사전 조건 / Fixture</t>
  </si>
  <si>
    <t>입력 데이터</t>
  </si>
  <si>
    <t>기대 결과</t>
  </si>
  <si>
    <t>실행 환경</t>
  </si>
  <si>
    <t>실행 상태</t>
  </si>
  <si>
    <t>실행 결과 메모</t>
  </si>
  <si>
    <t>코드 파일명</t>
  </si>
  <si>
    <t>Playground
구현</t>
  </si>
  <si>
    <t>Vue 컴포넌트명</t>
  </si>
  <si>
    <t>데모 설명</t>
  </si>
  <si>
    <t>전체 상태</t>
  </si>
  <si>
    <t>결함 내용</t>
  </si>
  <si>
    <t>조치사항</t>
  </si>
  <si>
    <t>비고</t>
  </si>
  <si>
    <t>TC-C-001</t>
  </si>
  <si>
    <t>Core</t>
  </si>
  <si>
    <t>api-proxy.js</t>
  </si>
  <si>
    <t>기본 변경 추적</t>
  </si>
  <si>
    <t>존재하는 키 수정 → replace op 기록</t>
  </si>
  <si>
    <t>기존 프로퍼티에 새 값을 할당하면 changeLog에 op:'replace'가 기록된다</t>
  </si>
  <si>
    <t>createProxy({ name:'Davi' })</t>
  </si>
  <si>
    <t>proxy.name = 'Lee'</t>
  </si>
  <si>
    <t>changeLog[0] == { op:'replace', path:'/name', oldValue:'Davi', newValue:'Lee' }</t>
  </si>
  <si>
    <t>node</t>
  </si>
  <si>
    <t>대기</t>
  </si>
  <si>
    <t>tests/core/api-proxy.test.js</t>
  </si>
  <si>
    <t>N</t>
  </si>
  <si>
    <t>TC-C-002</t>
  </si>
  <si>
    <t>없는 키 추가 → add op 기록</t>
  </si>
  <si>
    <t>존재하지 않는 프로퍼티에 값을 할당하면 op:'add'가 기록된다</t>
  </si>
  <si>
    <t>proxy.phone = '010'</t>
  </si>
  <si>
    <t>changeLog[0] == { op:'add', path:'/phone', newValue:'010' }</t>
  </si>
  <si>
    <t>TC-C-003</t>
  </si>
  <si>
    <t>delete 연산 → remove op 기록</t>
  </si>
  <si>
    <t>delete 연산자로 프로퍼티를 삭제하면 op:'remove'가 기록된다</t>
  </si>
  <si>
    <t>createProxy({ name:'Davi', age:30 })</t>
  </si>
  <si>
    <t>delete proxy.age</t>
  </si>
  <si>
    <t>changeLog[0] == { op:'remove', path:'/age', oldValue:30 }</t>
  </si>
  <si>
    <t>TC-C-004</t>
  </si>
  <si>
    <t>동일 값 재할당 → No-op</t>
  </si>
  <si>
    <t>현재 값과 동일한 값을 할당하면 changeLog에 기록되지 않는다</t>
  </si>
  <si>
    <t>proxy.name = 'Davi'</t>
  </si>
  <si>
    <t>changeLog.length === 0</t>
  </si>
  <si>
    <t>TC-C-005</t>
  </si>
  <si>
    <t>중첩 객체 추적</t>
  </si>
  <si>
    <t>중첩 객체 수정 → 경로에 부모/자식 포함</t>
  </si>
  <si>
    <t>중첩 객체 내부 값 변경 시 path가 /부모/자식 형태로 기록된다</t>
  </si>
  <si>
    <t>createProxy({ address:{ city:'Seoul' } })</t>
  </si>
  <si>
    <t>proxy.address.city = 'Busan'</t>
  </si>
  <si>
    <t>changeLog[0].path === '/address/city'</t>
  </si>
  <si>
    <t>TC-C-006</t>
  </si>
  <si>
    <t>동일 중첩 객체 재접근 → WeakMap 캐싱</t>
  </si>
  <si>
    <t>같은 중첩 객체에 두 번 접근해도 Proxy를 새로 생성하지 않는다</t>
  </si>
  <si>
    <t>const a1 = proxy.address; const a2 = proxy.address;</t>
  </si>
  <si>
    <t>a1 === a2 (동일 참조)</t>
  </si>
  <si>
    <t>TC-C-007</t>
  </si>
  <si>
    <t>배열 변이 추적</t>
  </si>
  <si>
    <t>push → add op (마지막 인덱스)</t>
  </si>
  <si>
    <t>push() 호출 시 새 인덱스에 add op가 기록된다</t>
  </si>
  <si>
    <t>createProxy({ items:['A','B'] })</t>
  </si>
  <si>
    <t>proxy.items.push('C')</t>
  </si>
  <si>
    <t>changeLog에 op:'add', path:'/items/2', newValue:'C' 포함</t>
  </si>
  <si>
    <t>TC-C-008</t>
  </si>
  <si>
    <t>splice → 정확한 인덱스 REMOVE + ADD</t>
  </si>
  <si>
    <t>splice(1,1,'X') 호출 시 index 1에 remove/add가 순서대로 기록된다</t>
  </si>
  <si>
    <t>createProxy({ items:['A','B','C'] })</t>
  </si>
  <si>
    <t>proxy.items.splice(1, 1, 'X')</t>
  </si>
  <si>
    <t>REMOVE /items/1 oldValue:'B', ADD /items/1 newValue:'X' 순서로 기록</t>
  </si>
  <si>
    <t>TC-C-009</t>
  </si>
  <si>
    <t>sort → 배열 전체 단일 replace op</t>
  </si>
  <si>
    <t>sort() 호출 시 배열 전체가 단일 replace op로 기록된다</t>
  </si>
  <si>
    <t>createProxy({ items:['C','A','B'] })</t>
  </si>
  <si>
    <t>proxy.items.sort()</t>
  </si>
  <si>
    <t>changeLog에 op:'replace', path:'/items' 인 항목 1개만 존재</t>
  </si>
  <si>
    <t>TC-C-010</t>
  </si>
  <si>
    <t>dirtyFields (1-A)</t>
  </si>
  <si>
    <t>최상위 키 변경 → dirtyFields 등록</t>
  </si>
  <si>
    <t>최상위 키를 수정하면 dirtyFields에 해당 키가 포함된다</t>
  </si>
  <si>
    <t>getDirtyFields().has('name') === true</t>
  </si>
  <si>
    <t>Y</t>
  </si>
  <si>
    <t>DirtyFieldsDemo</t>
  </si>
  <si>
    <t>name 변경 → dirtyFields 실시간 시각화</t>
  </si>
  <si>
    <t>TC-C-011</t>
  </si>
  <si>
    <t>중첩 키 변경 → 최상위 키만 등록</t>
  </si>
  <si>
    <t>/address/city 변경 시 dirtyFields에는 'address'만 추가된다</t>
  </si>
  <si>
    <t>getDirtyFields() == Set { 'address' }</t>
  </si>
  <si>
    <t>중첩 경로 분해 원리 시각화</t>
  </si>
  <si>
    <t>TC-C-012</t>
  </si>
  <si>
    <t>동일 키 반복 변경 → size 유지</t>
  </si>
  <si>
    <t>같은 키를 10번 바꿔도 dirtyFields.size는 1이다</t>
  </si>
  <si>
    <t>createProxy({ name:'A' })</t>
  </si>
  <si>
    <t>proxy.name = 'B'; proxy.name = 'C'; ... (10회)</t>
  </si>
  <si>
    <t>getDirtyFields().size === 1</t>
  </si>
  <si>
    <t>TC-C-013</t>
  </si>
  <si>
    <t>복원 메서드 (1-D)</t>
  </si>
  <si>
    <t>restoreTarget → domainObject 복원</t>
  </si>
  <si>
    <t>restoreTarget(snapshot) 호출 후 domainObject가 스냅샷 값으로 복원된다</t>
  </si>
  <si>
    <t>proxy.name = 'Lee' 변경 후</t>
  </si>
  <si>
    <t>restoreTarget({ name:'Davi' })</t>
  </si>
  <si>
    <t>getTarget().name === 'Davi'</t>
  </si>
  <si>
    <t>RollbackDemo</t>
  </si>
  <si>
    <t>복원 전/후 상태 비교 시각화</t>
  </si>
  <si>
    <t>TC-C-014</t>
  </si>
  <si>
    <t>restoreTarget → changeLog에 기록 안 됨</t>
  </si>
  <si>
    <t>restoreTarget은 Proxy를 우회하므로 복원 자체가 changeLog에 기록되지 않는다</t>
  </si>
  <si>
    <t>변경 후 changeLog가 있는 상태</t>
  </si>
  <si>
    <t>restoreTarget(snapshot)</t>
  </si>
  <si>
    <t>복원 후 getChangeLog().length === 변경 시 log 수 (증가 없음)</t>
  </si>
  <si>
    <t>TC-C-015</t>
  </si>
  <si>
    <t>Array 루트 객체 복원</t>
  </si>
  <si>
    <t>domainObject가 배열일 때 restoreTarget은 splice/push로 복원한다</t>
  </si>
  <si>
    <t>createProxy(['A','B','C'])</t>
  </si>
  <si>
    <t>proxy[0]='X'; restoreTarget(['A','B','C'])</t>
  </si>
  <si>
    <t>getTarget() deep-equals ['A','B','C']</t>
  </si>
  <si>
    <t>TC-V-001</t>
  </si>
  <si>
    <t>Domain</t>
  </si>
  <si>
    <t>DomainVO.js</t>
  </si>
  <si>
    <t>toSkeleton()</t>
  </si>
  <si>
    <t>static fields default 값으로 골격 생성</t>
  </si>
  <si>
    <t>선언된 각 필드의 default 값으로 객체가 초기화된다</t>
  </si>
  <si>
    <t>class UserVO { static fields = { name:{default:''}, age:{default:0} } }</t>
  </si>
  <si>
    <t>new UserVO().toSkeleton()</t>
  </si>
  <si>
    <t>{ name:'', age:0 }</t>
  </si>
  <si>
    <t>tests/domain/DomainVO.test.js</t>
  </si>
  <si>
    <t>TC-V-002</t>
  </si>
  <si>
    <t>객체 default → deep copy</t>
  </si>
  <si>
    <t>default가 객체인 필드는 인스턴스마다 독립 참조를 갖는다</t>
  </si>
  <si>
    <t>class AddrVO { static fields = { address:{ default:{ city:'' } } } }</t>
  </si>
  <si>
    <t>const a=new AddrVO().toSkeleton(); const b=new AddrVO().toSkeleton();</t>
  </si>
  <si>
    <t>a.address !== b.address (참조 다름)</t>
  </si>
  <si>
    <t>TC-V-003</t>
  </si>
  <si>
    <t>checkSchema()</t>
  </si>
  <si>
    <t>missingKey → valid:false</t>
  </si>
  <si>
    <t>응답 데이터에 VO 스키마 키가 누락되면 valid:false를 반환한다</t>
  </si>
  <si>
    <t>class UserVO { static fields = { name:{default:''}, role:{default:''} } }</t>
  </si>
  <si>
    <t>new UserVO().checkSchema({ name:'Davi' })</t>
  </si>
  <si>
    <t>{ valid:false, missingKeys:['role'], extraKeys:[] }</t>
  </si>
  <si>
    <t>TC-V-004</t>
  </si>
  <si>
    <t>extraKey → valid:true (경고만)</t>
  </si>
  <si>
    <t>응답에 VO에 없는 키가 있어도 valid:true이다</t>
  </si>
  <si>
    <t>class UserVO { static fields = { name:{default:''} } }</t>
  </si>
  <si>
    <t>new UserVO().checkSchema({ name:'Davi', extra:'unknown' })</t>
  </si>
  <si>
    <t>{ valid:true, missingKeys:[], extraKeys:['extra'] }</t>
  </si>
  <si>
    <t>TC-DS-001</t>
  </si>
  <si>
    <t>DomainState.js</t>
  </si>
  <si>
    <t>save() 분기 (1-A/1-B)</t>
  </si>
  <si>
    <t>isNew===true → POST</t>
  </si>
  <si>
    <t>isNew가 true인 상태에서 save() 호출 시 POST 메서드로 전송된다</t>
  </si>
  <si>
    <t>DomainState.fromVO(new UserVO(), mockHandler)</t>
  </si>
  <si>
    <t>await state.save('/api/users')</t>
  </si>
  <si>
    <t>mockHandler._fetch 호출 시 method === 'POST'</t>
  </si>
  <si>
    <t>tests/domain/DomainState.test.js</t>
  </si>
  <si>
    <t>HttpMethodDemo</t>
  </si>
  <si>
    <t>isNew 상태에 따른 HTTP 메서드 자동 분기 시각화</t>
  </si>
  <si>
    <t>TC-DS-002</t>
  </si>
  <si>
    <t>POST 성공 → isNew false 전환</t>
  </si>
  <si>
    <t>POST 성공 후 다음 save()는 PUT/PATCH로 분기된다</t>
  </si>
  <si>
    <t>isNew:true인 DomainState, POST mock 성공 응답</t>
  </si>
  <si>
    <t>await state.save(); // 첫 번째</t>
  </si>
  <si>
    <t>state._isNew === false</t>
  </si>
  <si>
    <t>TC-DS-003</t>
  </si>
  <si>
    <t>dirtyFields.size===0 → PUT</t>
  </si>
  <si>
    <t>변경 없이 save() 호출 시 PUT으로 전송된다</t>
  </si>
  <si>
    <t>fromJSON으로 생성 후 data 수정 없이</t>
  </si>
  <si>
    <t>await state.save('/api/users/1')</t>
  </si>
  <si>
    <t>method === 'PUT'</t>
  </si>
  <si>
    <t>변경 없음 → PUT 분기</t>
  </si>
  <si>
    <t>TC-DS-004</t>
  </si>
  <si>
    <t>dirtyRatio &gt;= 0.7 → PUT</t>
  </si>
  <si>
    <t>전체 필드 중 70% 이상이 변경되면 PUT으로 전송된다</t>
  </si>
  <si>
    <t>5개 필드 중 4개(80%) 변경</t>
  </si>
  <si>
    <t>4개 필드 수정 후 await state.save()</t>
  </si>
  <si>
    <t>dirty ratio 슬라이더로 분기 변화 시각화</t>
  </si>
  <si>
    <t>TC-DS-005</t>
  </si>
  <si>
    <t>dirtyRatio &lt; 0.7 → PATCH + RFC 6902 payload</t>
  </si>
  <si>
    <t>변경 필드 비율이 70% 미만이면 PATCH로 전송하고 payload가 RFC 6902 형식이다</t>
  </si>
  <si>
    <t>5개 필드 중 1개(20%) 변경</t>
  </si>
  <si>
    <t>1개 필드 수정 후 await state.save()</t>
  </si>
  <si>
    <t>method === 'PATCH', body == JSON.parse된 배열, 항목에 op/path/value 포함</t>
  </si>
  <si>
    <t>PATCH payload 내용 실시간 표시</t>
  </si>
  <si>
    <t>TC-DS-006</t>
  </si>
  <si>
    <t>Optimistic Rollback (1-D)</t>
  </si>
  <si>
    <t>mockHandler를 409 응답으로 설정, proxy.name='Lee' 변경 후</t>
  </si>
  <si>
    <t>await state.save() → 409 throw 예상</t>
  </si>
  <si>
    <t>저장 실패 → 자동 롤백 애니메이션</t>
  </si>
  <si>
    <t>TC-DS-007</t>
  </si>
  <si>
    <t>HTTP 오류 → changeLog 복원</t>
  </si>
  <si>
    <t>save() 실패 시 changeLog가 save() 진입 이전 항목으로 복원된다</t>
  </si>
  <si>
    <t>409 mock, 변경 후 changeLog에 항목 있음</t>
  </si>
  <si>
    <t>await state.save() catch</t>
  </si>
  <si>
    <t>복원 후 getChangeLog()가 save() 이전과 동일</t>
  </si>
  <si>
    <t>TC-DS-008</t>
  </si>
  <si>
    <t>HTTP 오류 → 에러 re-throw</t>
  </si>
  <si>
    <t>롤백 후 에러가 호출자에게 다시 전파된다</t>
  </si>
  <si>
    <t>409 mock</t>
  </si>
  <si>
    <t>try { await state.save() } catch(e) { ... }</t>
  </si>
  <si>
    <t>catch 블록이 실행되고 e.status === 409</t>
  </si>
  <si>
    <t>TC-DS-009</t>
  </si>
  <si>
    <t>롤백 후 재시도 → 올바른 메서드</t>
  </si>
  <si>
    <t>롤백 후 재시도 시 복원된 상태 기반으로 올바른 HTTP 메서드가 선택된다</t>
  </si>
  <si>
    <t>409 후 롤백된 상태</t>
  </si>
  <si>
    <t>롤백 후 다시 await state.save()</t>
  </si>
  <si>
    <t>재시도 시 PATCH (변경분 1개 있는 경우)</t>
  </si>
  <si>
    <t>재시도 시나리오 인터랙티브 데모</t>
  </si>
  <si>
    <t>TC-DS-010</t>
  </si>
  <si>
    <t>Batching (1-C)</t>
  </si>
  <si>
    <t>동기 블록 다중 변경 → _broadcast 1회</t>
  </si>
  <si>
    <t>동기 블록 안에서 필드 3개를 바꿔도 _broadcast는 microtask 후 단 1번 실행된다</t>
  </si>
  <si>
    <t>debug:true 인 DomainState, _broadcast를 vi.fn()으로 spy</t>
  </si>
  <si>
    <t>proxy.name='A'; proxy.email='B'; proxy.role='C'</t>
  </si>
  <si>
    <t>await (microtask flush), _broadcast 호출 횟수 === 1</t>
  </si>
  <si>
    <t>BatchingDemo</t>
  </si>
  <si>
    <t>변경 카운터 vs 브로드캐스트 카운터 비교 시각화</t>
  </si>
  <si>
    <t>TC-DS-011</t>
  </si>
  <si>
    <t>await 경계 → 각 블록 별도 flush</t>
  </si>
  <si>
    <t>await 경계를 넘으면 각 동기 블록이 독립적으로 flush된다</t>
  </si>
  <si>
    <t>debug:true 인 DomainState, spy 설정</t>
  </si>
  <si>
    <t>proxy.a='1'; await delay(); proxy.b='2';</t>
  </si>
  <si>
    <t>_broadcast 총 2회 호출</t>
  </si>
  <si>
    <t>TC-N-001</t>
  </si>
  <si>
    <t>Network</t>
  </si>
  <si>
    <t>api-handler.js</t>
  </si>
  <si>
    <t>_fetch()</t>
  </si>
  <si>
    <t>response.ok=true → 응답 텍스트 반환</t>
  </si>
  <si>
    <t>성공 응답 시 텍스트를 반환한다</t>
  </si>
  <si>
    <t>global.fetch를 200 응답으로 mock</t>
  </si>
  <si>
    <t>await handler._fetch('/api/test', { method:'GET' })</t>
  </si>
  <si>
    <t>반환값 === 응답 본문 텍스트</t>
  </si>
  <si>
    <t>tests/network/api-handler.test.js</t>
  </si>
  <si>
    <t>TC-N-002</t>
  </si>
  <si>
    <t>response.ok=false → HttpError throw</t>
  </si>
  <si>
    <t>4xx/5xx 응답 시 { status, statusText, body } 구조의 에러를 throw한다</t>
  </si>
  <si>
    <t>global.fetch를 409 응답으로 mock</t>
  </si>
  <si>
    <t>await handler._fetch('/api/test', { method:'PUT' })</t>
  </si>
  <si>
    <t>throw된 에러: e.status===409, e.statusText, e.body 존재</t>
  </si>
  <si>
    <t>TC-N-003</t>
  </si>
  <si>
    <t>204 No Content → null 반환</t>
  </si>
  <si>
    <t>빈 응답 본문일 때 null을 반환한다</t>
  </si>
  <si>
    <t>global.fetch를 204 빈 응답으로 mock</t>
  </si>
  <si>
    <t>await handler._fetch('/api/test', { method:'DELETE' })</t>
  </si>
  <si>
    <t>반환값 === null</t>
  </si>
  <si>
    <t>TC-N-004</t>
  </si>
  <si>
    <t>get()</t>
  </si>
  <si>
    <t>GET 성공 → DomainState(isNew:false) 반환</t>
  </si>
  <si>
    <t>GET 응답 JSON으로 DomainState가 생성되고 isNew가 false이다</t>
  </si>
  <si>
    <t>fetch를 JSON 응답으로 mock</t>
  </si>
  <si>
    <t>const ds = await handler.get('/api/users/1')</t>
  </si>
  <si>
    <t>ds instanceof DomainState &amp;&amp; ds._isNew === false</t>
  </si>
  <si>
    <t>TC-P-001</t>
  </si>
  <si>
    <t>DomainPipeline.js</t>
  </si>
  <si>
    <t>after()</t>
  </si>
  <si>
    <t>존재하지 않는 key → 즉시 Error</t>
  </si>
  <si>
    <t>resourceMap에 없는 key를 after()에 전달하면 즉시 Error를 throw한다</t>
  </si>
  <si>
    <t>new DomainPipeline({ user: Promise.resolve(ds) })</t>
  </si>
  <si>
    <t>.after('nonExistent', handler)</t>
  </si>
  <si>
    <t>Error 즉시 throw</t>
  </si>
  <si>
    <t>tests/domain/DomainPipeline.test.js</t>
  </si>
  <si>
    <t>TC-P-002</t>
  </si>
  <si>
    <t>run() strict:false</t>
  </si>
  <si>
    <t>fetch 실패 → _errors 기록, 나머지 계속</t>
  </si>
  <si>
    <t>일부 fetch 실패 시 _errors에 기록되고 나머지 리소스는 정상 반환된다</t>
  </si>
  <si>
    <t>user: 성공 mock, role: 실패 mock</t>
  </si>
  <si>
    <t>await pipeline.run()</t>
  </si>
  <si>
    <t>result.user 존재, result._errors[0].key === 'role'</t>
  </si>
  <si>
    <t>TC-P-003</t>
  </si>
  <si>
    <t>run() strict:true</t>
  </si>
  <si>
    <t>fetch 실패 → 즉시 reject</t>
  </si>
  <si>
    <t>strict:true 일 때 fetch 실패 시 Promise가 즉시 reject된다</t>
  </si>
  <si>
    <t>role: 실패 mock, strict:true</t>
  </si>
  <si>
    <t>reject, catch 블록 실행</t>
  </si>
  <si>
    <t>TC-P-004</t>
  </si>
  <si>
    <t>run() 핸들러 순서</t>
  </si>
  <si>
    <t>after() 등록 순서 === 실행 순서</t>
  </si>
  <si>
    <t>after()로 등록된 핸들러는 등록된 순서대로 순차 실행된다</t>
  </si>
  <si>
    <t>두 리소스 성공 mock</t>
  </si>
  <si>
    <t>.after('a', h1).after('b', h2).run()</t>
  </si>
  <si>
    <t>h1 완료 후 h2 실행 (callOrder 검증)</t>
  </si>
  <si>
    <t>TC-FB-001</t>
  </si>
  <si>
    <t>Plugin</t>
  </si>
  <si>
    <t>FormBinder.js</t>
  </si>
  <si>
    <t>fromForm()</t>
  </si>
  <si>
    <t>폼 현재 값 → DomainState 생성</t>
  </si>
  <si>
    <t>폼 요소의 현재 값으로 DomainState가 생성된다 (isNew:true)</t>
  </si>
  <si>
    <t>jsdom 환경, &lt;form id='f'&gt;&lt;input name='name' value='Davi'&gt;&lt;/form&gt;</t>
  </si>
  <si>
    <t>DomainState.fromForm('f', mockHandler)</t>
  </si>
  <si>
    <t>state.data.name === 'Davi' &amp;&amp; state._isNew === true</t>
  </si>
  <si>
    <t>jsdom</t>
  </si>
  <si>
    <t>tests/plugins/FormBinder.test.js</t>
  </si>
  <si>
    <t>FormBinderDemo</t>
  </si>
  <si>
    <t>폼 입력 → DomainState 실시간 동기화 데모</t>
  </si>
  <si>
    <t>TC-FB-002</t>
  </si>
  <si>
    <t>text input blur → data 갱신</t>
  </si>
  <si>
    <t>text input에서 blur 이벤트 발생 시 DomainState.data가 갱신된다</t>
  </si>
  <si>
    <t>fromForm() 으로 생성된 state</t>
  </si>
  <si>
    <t>input.value='Lee'; input.dispatchEvent(new Event('focusout'))</t>
  </si>
  <si>
    <t>state.data.name === 'Lee'</t>
  </si>
  <si>
    <t>blur 이벤트 추적 전략 시각화</t>
  </si>
  <si>
    <t>TC-FB-003</t>
  </si>
  <si>
    <t>bindForm()</t>
  </si>
  <si>
    <t>DomainState.data → 폼 역동기화</t>
  </si>
  <si>
    <t>bindForm() 호출 시 현재 data 값이 폼 필드에 채워진다</t>
  </si>
  <si>
    <t>fromJSON으로 생성된 state { name:'Davi' }, 빈 폼</t>
  </si>
  <si>
    <t>state.bindForm('f')</t>
  </si>
  <si>
    <t>input[name='name'].value === 'Davi'</t>
  </si>
  <si>
    <t>GET 응답 → 폼 자동 채우기 데모</t>
  </si>
  <si>
    <t>TC-DR-001</t>
  </si>
  <si>
    <t>DomainRenderer.js</t>
  </si>
  <si>
    <t>renderTo() select</t>
  </si>
  <si>
    <t>type:'select' → HTMLSelectElement 생성</t>
  </si>
  <si>
    <t>배열 데이터로 select 요소와 option 목록이 생성된다</t>
  </si>
  <si>
    <t>jsdom, DomainState.use(DomainRenderer), 배열 데이터 state</t>
  </si>
  <si>
    <t>state.renderTo('#el', { type:'select', valueField:'id', labelField:'name' })</t>
  </si>
  <si>
    <t>컨테이너에 select 요소 존재, option.length === 데이터.length</t>
  </si>
  <si>
    <t>tests/plugins/DomainRenderer.test.js</t>
  </si>
  <si>
    <t>RendererDemo</t>
  </si>
  <si>
    <t>select/radio/checkbox/button 전환 인터랙티브 데모</t>
  </si>
  <si>
    <t>TC-DR-002</t>
  </si>
  <si>
    <t>renderTo() radio</t>
  </si>
  <si>
    <t>type:'radio' → input[type=radio] 그룹 생성</t>
  </si>
  <si>
    <t>배열 데이터로 radio input 그룹이 생성된다</t>
  </si>
  <si>
    <t>jsdom, 배열 state</t>
  </si>
  <si>
    <t>state.renderTo('#el', { type:'radio', valueField:'code', labelField:'label' })</t>
  </si>
  <si>
    <t>input[type=radio] 수 === 데이터.length</t>
  </si>
  <si>
    <t>TC-DR-003</t>
  </si>
  <si>
    <t>renderTo() 덮어쓰기</t>
  </si>
  <si>
    <t>같은 컨테이너 재호출 → 기존 내용 교체</t>
  </si>
  <si>
    <t>renderTo()를 같은 컨테이너에 두 번 호출하면 기존 자식을 지우고 새로 렌더링한다</t>
  </si>
  <si>
    <t>jsdom, 이미 select가 렌더링된 컨테이너</t>
  </si>
  <si>
    <t>state.renderTo('#el', config) // 두 번째</t>
  </si>
  <si>
    <t>컨테이너 자식이 두 배가 되지 않고 새 것만 존재</t>
  </si>
  <si>
    <t>TC-DR-004</t>
  </si>
  <si>
    <t>renderTo() 에러</t>
  </si>
  <si>
    <t>데이터가 배열 아님 → Error throw</t>
  </si>
  <si>
    <t>DomainState 데이터가 배열이 아닐 때 renderTo()는 Error를 throw한다</t>
  </si>
  <si>
    <t>jsdom, 단일 객체 데이터 state</t>
  </si>
  <si>
    <t>state.renderTo('#el', { type:'select', ... })</t>
  </si>
  <si>
    <t>Error throw, 메시지에 label 포함</t>
  </si>
  <si>
    <t>DSM 테스트 진행 현황</t>
  </si>
  <si>
    <t>전체</t>
  </si>
  <si>
    <t>통과</t>
  </si>
  <si>
    <t>실패</t>
  </si>
  <si>
    <t>통과율</t>
  </si>
  <si>
    <t>합계</t>
  </si>
  <si>
    <t>Playground 대상 케이스</t>
  </si>
  <si>
    <t>Playground 구현 예정</t>
  </si>
  <si>
    <t>컬럼 작성 가이드</t>
  </si>
  <si>
    <t>컬럼명</t>
  </si>
  <si>
    <t>그룹</t>
  </si>
  <si>
    <t>용도 설명</t>
  </si>
  <si>
    <t>작성 예시 / 허용값</t>
  </si>
  <si>
    <t>테스트 케이스 고유 식별자. Layer 접두사 + 순번</t>
  </si>
  <si>
    <t>TC-C-001, TC-DS-006</t>
  </si>
  <si>
    <t>코드 레이어 분류</t>
  </si>
  <si>
    <t>Core / Domain / Network / Plugin</t>
  </si>
  <si>
    <t>테스트 대상 파일명</t>
  </si>
  <si>
    <t>api-proxy.js, DomainState.js</t>
  </si>
  <si>
    <t>같은 파일 내 기능 범주 묶음. 필터링 기준</t>
  </si>
  <si>
    <t>dirtyFields (1-A), 배열 변이 추적</t>
  </si>
  <si>
    <t>it() 설명 텍스트와 1:1 대응되는 간결한 이름</t>
  </si>
  <si>
    <t>무엇을 검증하는지 한 문장으로 명확히 서술</t>
  </si>
  <si>
    <t>기존 프로퍼티에 동일한 값 할당 시 changeLog에 기록되지 않는다</t>
  </si>
  <si>
    <t>beforeEach에 해당하는 초기 상태 또는 Fixture</t>
  </si>
  <si>
    <t>테스트 본체에서 실행하는 코드 또는 값</t>
  </si>
  <si>
    <t>proxy.name = 'Davi' (동일값)</t>
  </si>
  <si>
    <t>expect().toBe()에 해당하는 검증 내용</t>
  </si>
  <si>
    <t>node: 브라우저 API 불필요 / jsdom: DOM 접근 필요</t>
  </si>
  <si>
    <t>node / jsdom</t>
  </si>
  <si>
    <t>vitest run 실행 후 결과 기록. 드롭다운 선택</t>
  </si>
  <si>
    <t>대기 / 통과 / 실패 / 보류</t>
  </si>
  <si>
    <t>실패 시 에러 메시지 또는 원인 요약. 통과 시 비워도 됨</t>
  </si>
  <si>
    <t>TypeError: Cannot read properties of undefined</t>
  </si>
  <si>
    <t>해당 케이스가 위치하는 .test.js 파일 경로</t>
  </si>
  <si>
    <t>Playground 구현</t>
  </si>
  <si>
    <t>Playground</t>
  </si>
  <si>
    <t>VitePress 문서에 인터랙티브 데모로 구현할지 여부</t>
  </si>
  <si>
    <t>Y / N</t>
  </si>
  <si>
    <t>구현할 Vue 컴포넌트 파일명 (확장자 제외)</t>
  </si>
  <si>
    <t>DirtyFieldsDemo, RollbackDemo</t>
  </si>
  <si>
    <t>Playground에서 사용자가 직접 조작할 수 있는 내용 요약</t>
  </si>
  <si>
    <t>결과/조치</t>
  </si>
  <si>
    <t>모든 환경 포함 최종 상태. 드롭다운 선택</t>
  </si>
  <si>
    <t>실패 원인 또는 발견된 버그 상세 설명. 실패 시에만 작성</t>
  </si>
  <si>
    <t>Proxy target이 롤백 후에도 변경 값 유지됨</t>
  </si>
  <si>
    <t>결함 해결을 위한 코드 수정 내용 또는 계획</t>
  </si>
  <si>
    <t>restoreTarget 내 Array 분기 조건 누락 → splice/push 처리 추가</t>
  </si>
  <si>
    <t>관련 GitHub 이슈, PR, 참고 링크 등 자유 기재</t>
  </si>
  <si>
    <t>#42 참조, RFC 6902 §4.1</t>
  </si>
  <si>
    <r>
      <t xml:space="preserve">HTTP 4xx → save() </t>
    </r>
    <r>
      <rPr>
        <sz val="9"/>
        <rFont val="돋움"/>
        <family val="2"/>
        <charset val="129"/>
      </rPr>
      <t>진입</t>
    </r>
    <r>
      <rPr>
        <sz val="9"/>
        <rFont val="Arial"/>
        <family val="2"/>
      </rPr>
      <t xml:space="preserve"> </t>
    </r>
    <r>
      <rPr>
        <sz val="9"/>
        <rFont val="돋움"/>
        <family val="2"/>
        <charset val="129"/>
      </rPr>
      <t>시점</t>
    </r>
    <r>
      <rPr>
        <sz val="9"/>
        <rFont val="Arial"/>
        <family val="2"/>
      </rPr>
      <t xml:space="preserve"> </t>
    </r>
    <r>
      <rPr>
        <sz val="9"/>
        <rFont val="돋움"/>
        <family val="2"/>
        <charset val="129"/>
      </rPr>
      <t>상태가</t>
    </r>
    <r>
      <rPr>
        <sz val="9"/>
        <rFont val="Arial"/>
        <family val="2"/>
      </rPr>
      <t xml:space="preserve"> </t>
    </r>
    <r>
      <rPr>
        <sz val="9"/>
        <rFont val="돋움"/>
        <family val="2"/>
        <charset val="129"/>
      </rPr>
      <t>오염되지</t>
    </r>
    <r>
      <rPr>
        <sz val="9"/>
        <rFont val="Arial"/>
        <family val="2"/>
      </rPr>
      <t xml:space="preserve"> </t>
    </r>
    <r>
      <rPr>
        <sz val="9"/>
        <rFont val="돋움"/>
        <family val="2"/>
        <charset val="129"/>
      </rPr>
      <t>않음</t>
    </r>
    <phoneticPr fontId="6" type="noConversion"/>
  </si>
  <si>
    <r>
      <t xml:space="preserve">save() </t>
    </r>
    <r>
      <rPr>
        <sz val="9"/>
        <rFont val="맑은 고딕"/>
        <family val="3"/>
        <charset val="129"/>
      </rPr>
      <t>중</t>
    </r>
    <r>
      <rPr>
        <sz val="9"/>
        <rFont val="Arial"/>
        <family val="2"/>
      </rPr>
      <t xml:space="preserve"> </t>
    </r>
    <r>
      <rPr>
        <sz val="9"/>
        <rFont val="맑은 고딕"/>
        <family val="2"/>
        <charset val="129"/>
      </rPr>
      <t>중간에 내부 상태가 오염되지 않는다</t>
    </r>
    <phoneticPr fontId="6" type="noConversion"/>
  </si>
  <si>
    <r>
      <t xml:space="preserve">mutation </t>
    </r>
    <r>
      <rPr>
        <sz val="9"/>
        <rFont val="맑은 고딕"/>
        <family val="2"/>
        <charset val="129"/>
      </rPr>
      <t xml:space="preserve">값이 그대로 유지, </t>
    </r>
    <r>
      <rPr>
        <sz val="9"/>
        <rFont val="Arial"/>
        <family val="2"/>
      </rPr>
      <t xml:space="preserve">save() </t>
    </r>
    <r>
      <rPr>
        <sz val="9"/>
        <rFont val="맑은 고딕"/>
        <family val="2"/>
        <charset val="129"/>
      </rPr>
      <t xml:space="preserve">진입 시점 이력이 </t>
    </r>
    <r>
      <rPr>
        <sz val="9"/>
        <rFont val="Arial"/>
        <family val="2"/>
      </rPr>
      <t xml:space="preserve">intact, </t>
    </r>
    <r>
      <rPr>
        <sz val="9"/>
        <rFont val="맑은 고딕"/>
        <family val="2"/>
        <charset val="129"/>
      </rPr>
      <t xml:space="preserve">재시도 가능 여부: </t>
    </r>
    <r>
      <rPr>
        <sz val="9"/>
        <rFont val="Arial"/>
        <family val="2"/>
      </rPr>
      <t xml:space="preserve">rollback </t>
    </r>
    <r>
      <rPr>
        <sz val="9"/>
        <rFont val="맑은 고딕"/>
        <family val="2"/>
        <charset val="129"/>
      </rPr>
      <t xml:space="preserve">후 </t>
    </r>
    <r>
      <rPr>
        <sz val="9"/>
        <rFont val="Arial"/>
        <family val="2"/>
      </rPr>
      <t xml:space="preserve">`_fetch` </t>
    </r>
    <r>
      <rPr>
        <sz val="9"/>
        <rFont val="맑은 고딕"/>
        <family val="2"/>
        <charset val="129"/>
      </rPr>
      <t>메서드 호출이 올바름</t>
    </r>
    <phoneticPr fontId="6" type="noConversion"/>
  </si>
  <si>
    <t>OK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</si>
</sst>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0" x14ac:knownFonts="1">
    <font>
      <sz val="11"/>
      <color theme="1"/>
      <name val="맑은 고딕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4"/>
      <color rgb="FF1E3A5F"/>
      <name val="Arial"/>
      <family val="2"/>
    </font>
    <font>
      <b/>
      <sz val="9"/>
      <name val="Arial"/>
      <family val="2"/>
    </font>
    <font>
      <b/>
      <sz val="10"/>
      <color rgb="FF1E3A5F"/>
      <name val="Arial"/>
      <family val="2"/>
    </font>
    <font>
      <sz val="8"/>
      <name val="맑은 고딕"/>
      <family val="3"/>
      <charset val="129"/>
      <scheme val="minor"/>
    </font>
    <font>
      <sz val="9"/>
      <name val="맑은 고딕"/>
      <family val="2"/>
      <charset val="129"/>
    </font>
    <font>
      <sz val="9"/>
      <name val="맑은 고딕"/>
      <family val="3"/>
      <charset val="129"/>
    </font>
    <font>
      <sz val="9"/>
      <name val="돋움"/>
      <family val="2"/>
      <charset val="129"/>
    </font>
  </fonts>
  <fills count="13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AF1FB"/>
      </patternFill>
    </fill>
    <fill>
      <patternFill patternType="solid">
        <fgColor rgb="FFFFF9C4"/>
      </patternFill>
    </fill>
    <fill>
      <patternFill patternType="solid">
        <fgColor rgb="FFE8EAF6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CE4EC"/>
      </patternFill>
    </fill>
    <fill>
      <patternFill patternType="solid">
        <fgColor rgb="FFC8E6C9"/>
      </patternFill>
    </fill>
    <fill>
      <patternFill patternType="solid">
        <fgColor rgb="FFFFCDD2"/>
      </patternFill>
    </fill>
    <fill>
      <patternFill patternType="solid">
        <fgColor rgb="FFD6E4F7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76" fontId="4" fillId="0" borderId="1" xfId="0" applyNumberFormat="1" applyFont="1" applyBorder="1" applyAlignment="1">
      <alignment horizont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3" fillId="0" borderId="0" xfId="0" applyFont="1" applyAlignment="1">
      <alignment horizontal="left" vertical="center"/>
    </xf>
    <xf numFmtId="0" fontId="0" fillId="0" borderId="0" xfId="0"/>
    <xf numFmtId="0" fontId="5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7"/>
  <sheetViews>
    <sheetView tabSelected="1" topLeftCell="F1" workbookViewId="0">
      <pane ySplit="2" topLeftCell="A40" activePane="bottomLeft" state="frozen"/>
      <selection pane="bottomLeft" activeCell="N46" sqref="N46"/>
    </sheetView>
  </sheetViews>
  <sheetFormatPr defaultRowHeight="16.5" x14ac:dyDescent="0.3"/>
  <cols>
    <col min="1" max="1" width="7" customWidth="1"/>
    <col min="2" max="2" width="10" customWidth="1"/>
    <col min="3" max="3" width="18" customWidth="1"/>
    <col min="4" max="4" width="16" customWidth="1"/>
    <col min="5" max="5" width="30" customWidth="1"/>
    <col min="6" max="6" width="35" customWidth="1"/>
    <col min="7" max="8" width="22" customWidth="1"/>
    <col min="9" max="9" width="30" customWidth="1"/>
    <col min="10" max="10" width="11" customWidth="1"/>
    <col min="11" max="11" width="10" customWidth="1"/>
    <col min="12" max="12" width="18" customWidth="1"/>
    <col min="13" max="13" width="22" customWidth="1"/>
    <col min="14" max="14" width="11" customWidth="1"/>
    <col min="15" max="15" width="20" customWidth="1"/>
    <col min="16" max="16" width="28" customWidth="1"/>
    <col min="17" max="17" width="10" customWidth="1"/>
    <col min="18" max="19" width="25" customWidth="1"/>
    <col min="20" max="20" width="18" customWidth="1"/>
  </cols>
  <sheetData>
    <row r="1" spans="1:20" ht="14.1" customHeight="1" x14ac:dyDescent="0.3">
      <c r="A1" s="33" t="s">
        <v>0</v>
      </c>
      <c r="B1" s="34"/>
      <c r="C1" s="34"/>
      <c r="D1" s="34"/>
      <c r="E1" s="33" t="s">
        <v>1</v>
      </c>
      <c r="F1" s="34"/>
      <c r="G1" s="34"/>
      <c r="H1" s="34"/>
      <c r="I1" s="34"/>
      <c r="J1" s="33" t="s">
        <v>2</v>
      </c>
      <c r="K1" s="34"/>
      <c r="L1" s="34"/>
      <c r="M1" s="34"/>
      <c r="N1" s="33" t="s">
        <v>3</v>
      </c>
      <c r="O1" s="34"/>
      <c r="P1" s="34"/>
      <c r="Q1" s="33" t="s">
        <v>4</v>
      </c>
      <c r="R1" s="34"/>
      <c r="S1" s="34"/>
      <c r="T1" s="34"/>
    </row>
    <row r="2" spans="1:20" ht="38.1" customHeight="1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22</v>
      </c>
      <c r="S2" s="1" t="s">
        <v>23</v>
      </c>
      <c r="T2" s="1" t="s">
        <v>24</v>
      </c>
    </row>
    <row r="3" spans="1:20" ht="39.950000000000003" customHeight="1" x14ac:dyDescent="0.3">
      <c r="A3" s="2" t="s">
        <v>25</v>
      </c>
      <c r="B3" s="2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  <c r="J3" s="2" t="s">
        <v>34</v>
      </c>
      <c r="K3" s="4" t="s">
        <v>35</v>
      </c>
      <c r="L3" s="2" t="s">
        <v>401</v>
      </c>
      <c r="M3" s="3" t="s">
        <v>36</v>
      </c>
      <c r="N3" s="2" t="s">
        <v>37</v>
      </c>
      <c r="O3" s="3"/>
      <c r="P3" s="3"/>
      <c r="Q3" s="4" t="s">
        <v>35</v>
      </c>
      <c r="R3" s="3"/>
      <c r="S3" s="3"/>
      <c r="T3" s="3"/>
    </row>
    <row r="4" spans="1:20" ht="39.950000000000003" customHeight="1" x14ac:dyDescent="0.3">
      <c r="A4" s="2" t="s">
        <v>38</v>
      </c>
      <c r="B4" s="2" t="s">
        <v>26</v>
      </c>
      <c r="C4" s="3" t="s">
        <v>27</v>
      </c>
      <c r="D4" s="3" t="s">
        <v>28</v>
      </c>
      <c r="E4" s="3" t="s">
        <v>39</v>
      </c>
      <c r="F4" s="3" t="s">
        <v>40</v>
      </c>
      <c r="G4" s="3" t="s">
        <v>31</v>
      </c>
      <c r="H4" s="3" t="s">
        <v>41</v>
      </c>
      <c r="I4" s="3" t="s">
        <v>42</v>
      </c>
      <c r="J4" s="2" t="s">
        <v>34</v>
      </c>
      <c r="K4" s="4" t="s">
        <v>35</v>
      </c>
      <c r="L4" s="2" t="s">
        <v>401</v>
      </c>
      <c r="M4" s="3" t="s">
        <v>36</v>
      </c>
      <c r="N4" s="2" t="s">
        <v>37</v>
      </c>
      <c r="O4" s="3"/>
      <c r="P4" s="3"/>
      <c r="Q4" s="4" t="s">
        <v>35</v>
      </c>
      <c r="R4" s="3"/>
      <c r="S4" s="3"/>
      <c r="T4" s="3"/>
    </row>
    <row r="5" spans="1:20" ht="39.950000000000003" customHeight="1" x14ac:dyDescent="0.3">
      <c r="A5" s="2" t="s">
        <v>43</v>
      </c>
      <c r="B5" s="2" t="s">
        <v>26</v>
      </c>
      <c r="C5" s="3" t="s">
        <v>27</v>
      </c>
      <c r="D5" s="3" t="s">
        <v>28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2" t="s">
        <v>34</v>
      </c>
      <c r="K5" s="4" t="s">
        <v>35</v>
      </c>
      <c r="L5" s="2" t="s">
        <v>401</v>
      </c>
      <c r="M5" s="3" t="s">
        <v>36</v>
      </c>
      <c r="N5" s="2" t="s">
        <v>37</v>
      </c>
      <c r="O5" s="3"/>
      <c r="P5" s="3"/>
      <c r="Q5" s="4" t="s">
        <v>35</v>
      </c>
      <c r="R5" s="3"/>
      <c r="S5" s="3"/>
      <c r="T5" s="3"/>
    </row>
    <row r="6" spans="1:20" ht="39.950000000000003" customHeight="1" x14ac:dyDescent="0.3">
      <c r="A6" s="2" t="s">
        <v>49</v>
      </c>
      <c r="B6" s="2" t="s">
        <v>26</v>
      </c>
      <c r="C6" s="3" t="s">
        <v>27</v>
      </c>
      <c r="D6" s="3" t="s">
        <v>28</v>
      </c>
      <c r="E6" s="3" t="s">
        <v>50</v>
      </c>
      <c r="F6" s="3" t="s">
        <v>51</v>
      </c>
      <c r="G6" s="3" t="s">
        <v>31</v>
      </c>
      <c r="H6" s="3" t="s">
        <v>52</v>
      </c>
      <c r="I6" s="3" t="s">
        <v>53</v>
      </c>
      <c r="J6" s="2" t="s">
        <v>34</v>
      </c>
      <c r="K6" s="4" t="s">
        <v>35</v>
      </c>
      <c r="L6" s="2" t="s">
        <v>401</v>
      </c>
      <c r="M6" s="3" t="s">
        <v>36</v>
      </c>
      <c r="N6" s="2" t="s">
        <v>37</v>
      </c>
      <c r="O6" s="3"/>
      <c r="P6" s="3"/>
      <c r="Q6" s="4" t="s">
        <v>35</v>
      </c>
      <c r="R6" s="3"/>
      <c r="S6" s="3"/>
      <c r="T6" s="3"/>
    </row>
    <row r="7" spans="1:20" ht="39.950000000000003" customHeight="1" x14ac:dyDescent="0.3">
      <c r="A7" s="2" t="s">
        <v>54</v>
      </c>
      <c r="B7" s="2" t="s">
        <v>26</v>
      </c>
      <c r="C7" s="3" t="s">
        <v>27</v>
      </c>
      <c r="D7" s="3" t="s">
        <v>55</v>
      </c>
      <c r="E7" s="3" t="s">
        <v>56</v>
      </c>
      <c r="F7" s="3" t="s">
        <v>57</v>
      </c>
      <c r="G7" s="3" t="s">
        <v>58</v>
      </c>
      <c r="H7" s="3" t="s">
        <v>59</v>
      </c>
      <c r="I7" s="3" t="s">
        <v>60</v>
      </c>
      <c r="J7" s="2" t="s">
        <v>34</v>
      </c>
      <c r="K7" s="4" t="s">
        <v>35</v>
      </c>
      <c r="L7" s="2" t="s">
        <v>401</v>
      </c>
      <c r="M7" s="3" t="s">
        <v>36</v>
      </c>
      <c r="N7" s="2" t="s">
        <v>37</v>
      </c>
      <c r="O7" s="3"/>
      <c r="P7" s="3"/>
      <c r="Q7" s="4" t="s">
        <v>35</v>
      </c>
      <c r="R7" s="3"/>
      <c r="S7" s="3"/>
      <c r="T7" s="3"/>
    </row>
    <row r="8" spans="1:20" ht="39.950000000000003" customHeight="1" x14ac:dyDescent="0.3">
      <c r="A8" s="2" t="s">
        <v>61</v>
      </c>
      <c r="B8" s="2" t="s">
        <v>26</v>
      </c>
      <c r="C8" s="3" t="s">
        <v>27</v>
      </c>
      <c r="D8" s="3" t="s">
        <v>55</v>
      </c>
      <c r="E8" s="3" t="s">
        <v>62</v>
      </c>
      <c r="F8" s="3" t="s">
        <v>63</v>
      </c>
      <c r="G8" s="3" t="s">
        <v>58</v>
      </c>
      <c r="H8" s="3" t="s">
        <v>64</v>
      </c>
      <c r="I8" s="3" t="s">
        <v>65</v>
      </c>
      <c r="J8" s="2" t="s">
        <v>34</v>
      </c>
      <c r="K8" s="4" t="s">
        <v>35</v>
      </c>
      <c r="L8" s="2" t="s">
        <v>401</v>
      </c>
      <c r="M8" s="3" t="s">
        <v>36</v>
      </c>
      <c r="N8" s="2" t="s">
        <v>37</v>
      </c>
      <c r="O8" s="3"/>
      <c r="P8" s="3"/>
      <c r="Q8" s="4" t="s">
        <v>35</v>
      </c>
      <c r="R8" s="3"/>
      <c r="S8" s="3"/>
      <c r="T8" s="3"/>
    </row>
    <row r="9" spans="1:20" ht="39.950000000000003" customHeight="1" x14ac:dyDescent="0.3">
      <c r="A9" s="2" t="s">
        <v>66</v>
      </c>
      <c r="B9" s="2" t="s">
        <v>26</v>
      </c>
      <c r="C9" s="3" t="s">
        <v>27</v>
      </c>
      <c r="D9" s="3" t="s">
        <v>67</v>
      </c>
      <c r="E9" s="3" t="s">
        <v>68</v>
      </c>
      <c r="F9" s="3" t="s">
        <v>69</v>
      </c>
      <c r="G9" s="3" t="s">
        <v>70</v>
      </c>
      <c r="H9" s="3" t="s">
        <v>71</v>
      </c>
      <c r="I9" s="3" t="s">
        <v>72</v>
      </c>
      <c r="J9" s="2" t="s">
        <v>34</v>
      </c>
      <c r="K9" s="4" t="s">
        <v>35</v>
      </c>
      <c r="L9" s="2" t="s">
        <v>401</v>
      </c>
      <c r="M9" s="3" t="s">
        <v>36</v>
      </c>
      <c r="N9" s="2" t="s">
        <v>37</v>
      </c>
      <c r="O9" s="3"/>
      <c r="P9" s="3"/>
      <c r="Q9" s="4" t="s">
        <v>35</v>
      </c>
      <c r="R9" s="3"/>
      <c r="S9" s="3"/>
      <c r="T9" s="3"/>
    </row>
    <row r="10" spans="1:20" ht="39.950000000000003" customHeight="1" x14ac:dyDescent="0.3">
      <c r="A10" s="2" t="s">
        <v>73</v>
      </c>
      <c r="B10" s="2" t="s">
        <v>26</v>
      </c>
      <c r="C10" s="3" t="s">
        <v>27</v>
      </c>
      <c r="D10" s="3" t="s">
        <v>67</v>
      </c>
      <c r="E10" s="3" t="s">
        <v>74</v>
      </c>
      <c r="F10" s="3" t="s">
        <v>75</v>
      </c>
      <c r="G10" s="3" t="s">
        <v>76</v>
      </c>
      <c r="H10" s="3" t="s">
        <v>77</v>
      </c>
      <c r="I10" s="3" t="s">
        <v>78</v>
      </c>
      <c r="J10" s="2" t="s">
        <v>34</v>
      </c>
      <c r="K10" s="4" t="s">
        <v>35</v>
      </c>
      <c r="L10" s="2" t="s">
        <v>401</v>
      </c>
      <c r="M10" s="3" t="s">
        <v>36</v>
      </c>
      <c r="N10" s="2" t="s">
        <v>37</v>
      </c>
      <c r="O10" s="3"/>
      <c r="P10" s="3"/>
      <c r="Q10" s="4" t="s">
        <v>35</v>
      </c>
      <c r="R10" s="3"/>
      <c r="S10" s="3"/>
      <c r="T10" s="3"/>
    </row>
    <row r="11" spans="1:20" ht="39.950000000000003" customHeight="1" x14ac:dyDescent="0.3">
      <c r="A11" s="2" t="s">
        <v>79</v>
      </c>
      <c r="B11" s="2" t="s">
        <v>26</v>
      </c>
      <c r="C11" s="3" t="s">
        <v>27</v>
      </c>
      <c r="D11" s="3" t="s">
        <v>67</v>
      </c>
      <c r="E11" s="3" t="s">
        <v>80</v>
      </c>
      <c r="F11" s="3" t="s">
        <v>81</v>
      </c>
      <c r="G11" s="3" t="s">
        <v>82</v>
      </c>
      <c r="H11" s="3" t="s">
        <v>83</v>
      </c>
      <c r="I11" s="3" t="s">
        <v>84</v>
      </c>
      <c r="J11" s="2" t="s">
        <v>34</v>
      </c>
      <c r="K11" s="4" t="s">
        <v>35</v>
      </c>
      <c r="L11" s="2" t="s">
        <v>401</v>
      </c>
      <c r="M11" s="3" t="s">
        <v>36</v>
      </c>
      <c r="N11" s="2" t="s">
        <v>37</v>
      </c>
      <c r="O11" s="3"/>
      <c r="P11" s="3"/>
      <c r="Q11" s="4" t="s">
        <v>35</v>
      </c>
      <c r="R11" s="3"/>
      <c r="S11" s="3"/>
      <c r="T11" s="3"/>
    </row>
    <row r="12" spans="1:20" ht="39.950000000000003" customHeight="1" x14ac:dyDescent="0.3">
      <c r="A12" s="2" t="s">
        <v>85</v>
      </c>
      <c r="B12" s="2" t="s">
        <v>26</v>
      </c>
      <c r="C12" s="3" t="s">
        <v>27</v>
      </c>
      <c r="D12" s="3" t="s">
        <v>86</v>
      </c>
      <c r="E12" s="3" t="s">
        <v>87</v>
      </c>
      <c r="F12" s="3" t="s">
        <v>88</v>
      </c>
      <c r="G12" s="3" t="s">
        <v>46</v>
      </c>
      <c r="H12" s="3" t="s">
        <v>32</v>
      </c>
      <c r="I12" s="3" t="s">
        <v>89</v>
      </c>
      <c r="J12" s="2" t="s">
        <v>34</v>
      </c>
      <c r="K12" s="4" t="s">
        <v>35</v>
      </c>
      <c r="L12" s="2" t="s">
        <v>401</v>
      </c>
      <c r="M12" s="3" t="s">
        <v>36</v>
      </c>
      <c r="N12" s="5" t="s">
        <v>90</v>
      </c>
      <c r="O12" s="3" t="s">
        <v>91</v>
      </c>
      <c r="P12" s="3" t="s">
        <v>92</v>
      </c>
      <c r="Q12" s="4" t="s">
        <v>35</v>
      </c>
      <c r="R12" s="3"/>
      <c r="S12" s="3"/>
      <c r="T12" s="3"/>
    </row>
    <row r="13" spans="1:20" ht="39.950000000000003" customHeight="1" x14ac:dyDescent="0.3">
      <c r="A13" s="2" t="s">
        <v>93</v>
      </c>
      <c r="B13" s="2" t="s">
        <v>26</v>
      </c>
      <c r="C13" s="3" t="s">
        <v>27</v>
      </c>
      <c r="D13" s="3" t="s">
        <v>86</v>
      </c>
      <c r="E13" s="3" t="s">
        <v>94</v>
      </c>
      <c r="F13" s="3" t="s">
        <v>95</v>
      </c>
      <c r="G13" s="3" t="s">
        <v>58</v>
      </c>
      <c r="H13" s="3" t="s">
        <v>59</v>
      </c>
      <c r="I13" s="3" t="s">
        <v>96</v>
      </c>
      <c r="J13" s="2" t="s">
        <v>34</v>
      </c>
      <c r="K13" s="4" t="s">
        <v>35</v>
      </c>
      <c r="L13" s="2" t="s">
        <v>401</v>
      </c>
      <c r="M13" s="3" t="s">
        <v>36</v>
      </c>
      <c r="N13" s="5" t="s">
        <v>90</v>
      </c>
      <c r="O13" s="3" t="s">
        <v>91</v>
      </c>
      <c r="P13" s="3" t="s">
        <v>97</v>
      </c>
      <c r="Q13" s="4" t="s">
        <v>35</v>
      </c>
      <c r="R13" s="3"/>
      <c r="S13" s="3"/>
      <c r="T13" s="3"/>
    </row>
    <row r="14" spans="1:20" ht="39.950000000000003" customHeight="1" x14ac:dyDescent="0.3">
      <c r="A14" s="2" t="s">
        <v>98</v>
      </c>
      <c r="B14" s="2" t="s">
        <v>26</v>
      </c>
      <c r="C14" s="3" t="s">
        <v>27</v>
      </c>
      <c r="D14" s="3" t="s">
        <v>86</v>
      </c>
      <c r="E14" s="3" t="s">
        <v>99</v>
      </c>
      <c r="F14" s="3" t="s">
        <v>100</v>
      </c>
      <c r="G14" s="3" t="s">
        <v>101</v>
      </c>
      <c r="H14" s="3" t="s">
        <v>102</v>
      </c>
      <c r="I14" s="3" t="s">
        <v>103</v>
      </c>
      <c r="J14" s="2" t="s">
        <v>34</v>
      </c>
      <c r="K14" s="4" t="s">
        <v>35</v>
      </c>
      <c r="L14" s="2" t="s">
        <v>401</v>
      </c>
      <c r="M14" s="3" t="s">
        <v>36</v>
      </c>
      <c r="N14" s="2" t="s">
        <v>37</v>
      </c>
      <c r="O14" s="3"/>
      <c r="P14" s="3"/>
      <c r="Q14" s="4" t="s">
        <v>35</v>
      </c>
      <c r="R14" s="3"/>
      <c r="S14" s="3"/>
      <c r="T14" s="3"/>
    </row>
    <row r="15" spans="1:20" ht="39.950000000000003" customHeight="1" x14ac:dyDescent="0.3">
      <c r="A15" s="2" t="s">
        <v>104</v>
      </c>
      <c r="B15" s="2" t="s">
        <v>26</v>
      </c>
      <c r="C15" s="3" t="s">
        <v>27</v>
      </c>
      <c r="D15" s="3" t="s">
        <v>105</v>
      </c>
      <c r="E15" s="3" t="s">
        <v>106</v>
      </c>
      <c r="F15" s="3" t="s">
        <v>107</v>
      </c>
      <c r="G15" s="3" t="s">
        <v>108</v>
      </c>
      <c r="H15" s="3" t="s">
        <v>109</v>
      </c>
      <c r="I15" s="3" t="s">
        <v>110</v>
      </c>
      <c r="J15" s="2" t="s">
        <v>34</v>
      </c>
      <c r="K15" s="4" t="s">
        <v>35</v>
      </c>
      <c r="L15" s="2" t="s">
        <v>401</v>
      </c>
      <c r="M15" s="3" t="s">
        <v>36</v>
      </c>
      <c r="N15" s="5" t="s">
        <v>90</v>
      </c>
      <c r="O15" s="3" t="s">
        <v>111</v>
      </c>
      <c r="P15" s="3" t="s">
        <v>112</v>
      </c>
      <c r="Q15" s="4" t="s">
        <v>35</v>
      </c>
      <c r="R15" s="3"/>
      <c r="S15" s="3"/>
      <c r="T15" s="3"/>
    </row>
    <row r="16" spans="1:20" ht="39.950000000000003" customHeight="1" x14ac:dyDescent="0.3">
      <c r="A16" s="2" t="s">
        <v>113</v>
      </c>
      <c r="B16" s="2" t="s">
        <v>26</v>
      </c>
      <c r="C16" s="3" t="s">
        <v>27</v>
      </c>
      <c r="D16" s="3" t="s">
        <v>105</v>
      </c>
      <c r="E16" s="3" t="s">
        <v>114</v>
      </c>
      <c r="F16" s="3" t="s">
        <v>115</v>
      </c>
      <c r="G16" s="3" t="s">
        <v>116</v>
      </c>
      <c r="H16" s="3" t="s">
        <v>117</v>
      </c>
      <c r="I16" s="3" t="s">
        <v>118</v>
      </c>
      <c r="J16" s="2" t="s">
        <v>34</v>
      </c>
      <c r="K16" s="4" t="s">
        <v>35</v>
      </c>
      <c r="L16" s="2" t="s">
        <v>401</v>
      </c>
      <c r="M16" s="3" t="s">
        <v>36</v>
      </c>
      <c r="N16" s="2" t="s">
        <v>37</v>
      </c>
      <c r="O16" s="3"/>
      <c r="P16" s="3"/>
      <c r="Q16" s="4" t="s">
        <v>35</v>
      </c>
      <c r="R16" s="3"/>
      <c r="S16" s="3"/>
      <c r="T16" s="3"/>
    </row>
    <row r="17" spans="1:20" ht="39.950000000000003" customHeight="1" x14ac:dyDescent="0.3">
      <c r="A17" s="2" t="s">
        <v>119</v>
      </c>
      <c r="B17" s="2" t="s">
        <v>26</v>
      </c>
      <c r="C17" s="3" t="s">
        <v>27</v>
      </c>
      <c r="D17" s="3" t="s">
        <v>105</v>
      </c>
      <c r="E17" s="3" t="s">
        <v>120</v>
      </c>
      <c r="F17" s="3" t="s">
        <v>121</v>
      </c>
      <c r="G17" s="3" t="s">
        <v>122</v>
      </c>
      <c r="H17" s="3" t="s">
        <v>123</v>
      </c>
      <c r="I17" s="3" t="s">
        <v>124</v>
      </c>
      <c r="J17" s="2" t="s">
        <v>34</v>
      </c>
      <c r="K17" s="4" t="s">
        <v>35</v>
      </c>
      <c r="L17" s="2" t="s">
        <v>401</v>
      </c>
      <c r="M17" s="3" t="s">
        <v>36</v>
      </c>
      <c r="N17" s="2" t="s">
        <v>37</v>
      </c>
      <c r="O17" s="3"/>
      <c r="P17" s="3"/>
      <c r="Q17" s="4" t="s">
        <v>35</v>
      </c>
      <c r="R17" s="3"/>
      <c r="S17" s="3"/>
      <c r="T17" s="3"/>
    </row>
    <row r="18" spans="1:20" ht="39.950000000000003" customHeight="1" x14ac:dyDescent="0.3">
      <c r="A18" s="6" t="s">
        <v>125</v>
      </c>
      <c r="B18" s="6" t="s">
        <v>126</v>
      </c>
      <c r="C18" s="7" t="s">
        <v>127</v>
      </c>
      <c r="D18" s="7" t="s">
        <v>128</v>
      </c>
      <c r="E18" s="7" t="s">
        <v>129</v>
      </c>
      <c r="F18" s="7" t="s">
        <v>130</v>
      </c>
      <c r="G18" s="7" t="s">
        <v>131</v>
      </c>
      <c r="H18" s="7" t="s">
        <v>132</v>
      </c>
      <c r="I18" s="7" t="s">
        <v>133</v>
      </c>
      <c r="J18" s="6" t="s">
        <v>34</v>
      </c>
      <c r="K18" s="4" t="s">
        <v>35</v>
      </c>
      <c r="L18" s="6" t="s">
        <v>401</v>
      </c>
      <c r="M18" s="7" t="s">
        <v>134</v>
      </c>
      <c r="N18" s="6" t="s">
        <v>37</v>
      </c>
      <c r="O18" s="7"/>
      <c r="P18" s="7"/>
      <c r="Q18" s="4" t="s">
        <v>35</v>
      </c>
      <c r="R18" s="7"/>
      <c r="S18" s="7"/>
      <c r="T18" s="7"/>
    </row>
    <row r="19" spans="1:20" ht="39.950000000000003" customHeight="1" x14ac:dyDescent="0.3">
      <c r="A19" s="6" t="s">
        <v>135</v>
      </c>
      <c r="B19" s="6" t="s">
        <v>126</v>
      </c>
      <c r="C19" s="7" t="s">
        <v>127</v>
      </c>
      <c r="D19" s="7" t="s">
        <v>128</v>
      </c>
      <c r="E19" s="7" t="s">
        <v>136</v>
      </c>
      <c r="F19" s="7" t="s">
        <v>137</v>
      </c>
      <c r="G19" s="7" t="s">
        <v>138</v>
      </c>
      <c r="H19" s="7" t="s">
        <v>139</v>
      </c>
      <c r="I19" s="7" t="s">
        <v>140</v>
      </c>
      <c r="J19" s="6" t="s">
        <v>34</v>
      </c>
      <c r="K19" s="4" t="s">
        <v>35</v>
      </c>
      <c r="L19" s="6" t="s">
        <v>401</v>
      </c>
      <c r="M19" s="7" t="s">
        <v>134</v>
      </c>
      <c r="N19" s="6" t="s">
        <v>37</v>
      </c>
      <c r="O19" s="7"/>
      <c r="P19" s="7"/>
      <c r="Q19" s="4" t="s">
        <v>35</v>
      </c>
      <c r="R19" s="7"/>
      <c r="S19" s="7"/>
      <c r="T19" s="7"/>
    </row>
    <row r="20" spans="1:20" ht="39.950000000000003" customHeight="1" x14ac:dyDescent="0.3">
      <c r="A20" s="6" t="s">
        <v>141</v>
      </c>
      <c r="B20" s="6" t="s">
        <v>126</v>
      </c>
      <c r="C20" s="7" t="s">
        <v>127</v>
      </c>
      <c r="D20" s="7" t="s">
        <v>142</v>
      </c>
      <c r="E20" s="7" t="s">
        <v>143</v>
      </c>
      <c r="F20" s="7" t="s">
        <v>144</v>
      </c>
      <c r="G20" s="7" t="s">
        <v>145</v>
      </c>
      <c r="H20" s="7" t="s">
        <v>146</v>
      </c>
      <c r="I20" s="7" t="s">
        <v>147</v>
      </c>
      <c r="J20" s="6" t="s">
        <v>34</v>
      </c>
      <c r="K20" s="4" t="s">
        <v>35</v>
      </c>
      <c r="L20" s="6" t="s">
        <v>401</v>
      </c>
      <c r="M20" s="7" t="s">
        <v>134</v>
      </c>
      <c r="N20" s="6" t="s">
        <v>37</v>
      </c>
      <c r="O20" s="7"/>
      <c r="P20" s="7"/>
      <c r="Q20" s="4" t="s">
        <v>35</v>
      </c>
      <c r="R20" s="7"/>
      <c r="S20" s="7"/>
      <c r="T20" s="7"/>
    </row>
    <row r="21" spans="1:20" ht="39.950000000000003" customHeight="1" x14ac:dyDescent="0.3">
      <c r="A21" s="6" t="s">
        <v>148</v>
      </c>
      <c r="B21" s="6" t="s">
        <v>126</v>
      </c>
      <c r="C21" s="7" t="s">
        <v>127</v>
      </c>
      <c r="D21" s="7" t="s">
        <v>142</v>
      </c>
      <c r="E21" s="7" t="s">
        <v>149</v>
      </c>
      <c r="F21" s="7" t="s">
        <v>150</v>
      </c>
      <c r="G21" s="7" t="s">
        <v>151</v>
      </c>
      <c r="H21" s="7" t="s">
        <v>152</v>
      </c>
      <c r="I21" s="7" t="s">
        <v>153</v>
      </c>
      <c r="J21" s="6" t="s">
        <v>34</v>
      </c>
      <c r="K21" s="4" t="s">
        <v>35</v>
      </c>
      <c r="L21" s="6" t="s">
        <v>401</v>
      </c>
      <c r="M21" s="7" t="s">
        <v>134</v>
      </c>
      <c r="N21" s="6" t="s">
        <v>37</v>
      </c>
      <c r="O21" s="7"/>
      <c r="P21" s="7"/>
      <c r="Q21" s="4" t="s">
        <v>35</v>
      </c>
      <c r="R21" s="7"/>
      <c r="S21" s="7"/>
      <c r="T21" s="7"/>
    </row>
    <row r="22" spans="1:20" ht="39.950000000000003" customHeight="1" x14ac:dyDescent="0.3">
      <c r="A22" s="6" t="s">
        <v>154</v>
      </c>
      <c r="B22" s="6" t="s">
        <v>126</v>
      </c>
      <c r="C22" s="7" t="s">
        <v>155</v>
      </c>
      <c r="D22" s="7" t="s">
        <v>156</v>
      </c>
      <c r="E22" s="7" t="s">
        <v>157</v>
      </c>
      <c r="F22" s="7" t="s">
        <v>158</v>
      </c>
      <c r="G22" s="7" t="s">
        <v>159</v>
      </c>
      <c r="H22" s="7" t="s">
        <v>160</v>
      </c>
      <c r="I22" s="7" t="s">
        <v>161</v>
      </c>
      <c r="J22" s="6" t="s">
        <v>34</v>
      </c>
      <c r="K22" s="4" t="s">
        <v>35</v>
      </c>
      <c r="L22" s="6" t="s">
        <v>401</v>
      </c>
      <c r="M22" s="7" t="s">
        <v>162</v>
      </c>
      <c r="N22" s="5" t="s">
        <v>90</v>
      </c>
      <c r="O22" s="7" t="s">
        <v>163</v>
      </c>
      <c r="P22" s="7" t="s">
        <v>164</v>
      </c>
      <c r="Q22" s="4" t="s">
        <v>35</v>
      </c>
      <c r="R22" s="7"/>
      <c r="S22" s="7"/>
      <c r="T22" s="7"/>
    </row>
    <row r="23" spans="1:20" ht="39.950000000000003" customHeight="1" x14ac:dyDescent="0.3">
      <c r="A23" s="6" t="s">
        <v>165</v>
      </c>
      <c r="B23" s="6" t="s">
        <v>126</v>
      </c>
      <c r="C23" s="7" t="s">
        <v>155</v>
      </c>
      <c r="D23" s="7" t="s">
        <v>156</v>
      </c>
      <c r="E23" s="7" t="s">
        <v>166</v>
      </c>
      <c r="F23" s="7" t="s">
        <v>167</v>
      </c>
      <c r="G23" s="7" t="s">
        <v>168</v>
      </c>
      <c r="H23" s="7" t="s">
        <v>169</v>
      </c>
      <c r="I23" s="7" t="s">
        <v>170</v>
      </c>
      <c r="J23" s="6" t="s">
        <v>34</v>
      </c>
      <c r="K23" s="4" t="s">
        <v>35</v>
      </c>
      <c r="L23" s="6" t="s">
        <v>401</v>
      </c>
      <c r="M23" s="7" t="s">
        <v>162</v>
      </c>
      <c r="N23" s="6" t="s">
        <v>37</v>
      </c>
      <c r="O23" s="7"/>
      <c r="P23" s="7"/>
      <c r="Q23" s="4" t="s">
        <v>35</v>
      </c>
      <c r="R23" s="7"/>
      <c r="S23" s="7"/>
      <c r="T23" s="7"/>
    </row>
    <row r="24" spans="1:20" ht="39.950000000000003" customHeight="1" x14ac:dyDescent="0.3">
      <c r="A24" s="6" t="s">
        <v>171</v>
      </c>
      <c r="B24" s="6" t="s">
        <v>126</v>
      </c>
      <c r="C24" s="7" t="s">
        <v>155</v>
      </c>
      <c r="D24" s="7" t="s">
        <v>156</v>
      </c>
      <c r="E24" s="7" t="s">
        <v>172</v>
      </c>
      <c r="F24" s="7" t="s">
        <v>173</v>
      </c>
      <c r="G24" s="7" t="s">
        <v>174</v>
      </c>
      <c r="H24" s="7" t="s">
        <v>175</v>
      </c>
      <c r="I24" s="7" t="s">
        <v>176</v>
      </c>
      <c r="J24" s="6" t="s">
        <v>34</v>
      </c>
      <c r="K24" s="4" t="s">
        <v>35</v>
      </c>
      <c r="L24" s="6" t="s">
        <v>401</v>
      </c>
      <c r="M24" s="7" t="s">
        <v>162</v>
      </c>
      <c r="N24" s="5" t="s">
        <v>90</v>
      </c>
      <c r="O24" s="7" t="s">
        <v>163</v>
      </c>
      <c r="P24" s="7" t="s">
        <v>177</v>
      </c>
      <c r="Q24" s="4" t="s">
        <v>35</v>
      </c>
      <c r="R24" s="7"/>
      <c r="S24" s="7"/>
      <c r="T24" s="7"/>
    </row>
    <row r="25" spans="1:20" ht="39.950000000000003" customHeight="1" x14ac:dyDescent="0.3">
      <c r="A25" s="6" t="s">
        <v>178</v>
      </c>
      <c r="B25" s="6" t="s">
        <v>126</v>
      </c>
      <c r="C25" s="7" t="s">
        <v>155</v>
      </c>
      <c r="D25" s="7" t="s">
        <v>156</v>
      </c>
      <c r="E25" s="7" t="s">
        <v>179</v>
      </c>
      <c r="F25" s="7" t="s">
        <v>180</v>
      </c>
      <c r="G25" s="7" t="s">
        <v>181</v>
      </c>
      <c r="H25" s="7" t="s">
        <v>182</v>
      </c>
      <c r="I25" s="7" t="s">
        <v>176</v>
      </c>
      <c r="J25" s="6" t="s">
        <v>34</v>
      </c>
      <c r="K25" s="4" t="s">
        <v>35</v>
      </c>
      <c r="L25" s="6" t="s">
        <v>401</v>
      </c>
      <c r="M25" s="7" t="s">
        <v>162</v>
      </c>
      <c r="N25" s="5" t="s">
        <v>90</v>
      </c>
      <c r="O25" s="7" t="s">
        <v>163</v>
      </c>
      <c r="P25" s="7" t="s">
        <v>183</v>
      </c>
      <c r="Q25" s="4" t="s">
        <v>35</v>
      </c>
      <c r="R25" s="7"/>
      <c r="S25" s="7"/>
      <c r="T25" s="7"/>
    </row>
    <row r="26" spans="1:20" ht="39.950000000000003" customHeight="1" x14ac:dyDescent="0.3">
      <c r="A26" s="6" t="s">
        <v>184</v>
      </c>
      <c r="B26" s="6" t="s">
        <v>126</v>
      </c>
      <c r="C26" s="7" t="s">
        <v>155</v>
      </c>
      <c r="D26" s="7" t="s">
        <v>156</v>
      </c>
      <c r="E26" s="7" t="s">
        <v>185</v>
      </c>
      <c r="F26" s="7" t="s">
        <v>186</v>
      </c>
      <c r="G26" s="7" t="s">
        <v>187</v>
      </c>
      <c r="H26" s="7" t="s">
        <v>188</v>
      </c>
      <c r="I26" s="7" t="s">
        <v>189</v>
      </c>
      <c r="J26" s="6" t="s">
        <v>34</v>
      </c>
      <c r="K26" s="4" t="s">
        <v>35</v>
      </c>
      <c r="L26" s="6" t="s">
        <v>401</v>
      </c>
      <c r="M26" s="7" t="s">
        <v>162</v>
      </c>
      <c r="N26" s="5" t="s">
        <v>90</v>
      </c>
      <c r="O26" s="7" t="s">
        <v>163</v>
      </c>
      <c r="P26" s="7" t="s">
        <v>190</v>
      </c>
      <c r="Q26" s="4" t="s">
        <v>35</v>
      </c>
      <c r="R26" s="7"/>
      <c r="S26" s="7"/>
      <c r="T26" s="7"/>
    </row>
    <row r="27" spans="1:20" ht="39.950000000000003" customHeight="1" x14ac:dyDescent="0.3">
      <c r="A27" s="6" t="s">
        <v>191</v>
      </c>
      <c r="B27" s="6" t="s">
        <v>126</v>
      </c>
      <c r="C27" s="7" t="s">
        <v>155</v>
      </c>
      <c r="D27" s="7" t="s">
        <v>192</v>
      </c>
      <c r="E27" s="7" t="s">
        <v>398</v>
      </c>
      <c r="F27" s="7" t="s">
        <v>399</v>
      </c>
      <c r="G27" s="7" t="s">
        <v>193</v>
      </c>
      <c r="H27" s="7" t="s">
        <v>194</v>
      </c>
      <c r="I27" s="7" t="s">
        <v>400</v>
      </c>
      <c r="J27" s="6" t="s">
        <v>34</v>
      </c>
      <c r="K27" s="4" t="s">
        <v>35</v>
      </c>
      <c r="L27" s="6" t="s">
        <v>401</v>
      </c>
      <c r="M27" s="7" t="s">
        <v>162</v>
      </c>
      <c r="N27" s="5" t="s">
        <v>90</v>
      </c>
      <c r="O27" s="7" t="s">
        <v>111</v>
      </c>
      <c r="P27" s="7" t="s">
        <v>195</v>
      </c>
      <c r="Q27" s="4" t="s">
        <v>35</v>
      </c>
      <c r="R27" s="7"/>
      <c r="S27" s="7"/>
      <c r="T27" s="7"/>
    </row>
    <row r="28" spans="1:20" ht="39.950000000000003" customHeight="1" x14ac:dyDescent="0.3">
      <c r="A28" s="6" t="s">
        <v>196</v>
      </c>
      <c r="B28" s="6" t="s">
        <v>126</v>
      </c>
      <c r="C28" s="7" t="s">
        <v>155</v>
      </c>
      <c r="D28" s="7" t="s">
        <v>192</v>
      </c>
      <c r="E28" s="7" t="s">
        <v>197</v>
      </c>
      <c r="F28" s="7" t="s">
        <v>198</v>
      </c>
      <c r="G28" s="7" t="s">
        <v>199</v>
      </c>
      <c r="H28" s="7" t="s">
        <v>200</v>
      </c>
      <c r="I28" s="7" t="s">
        <v>201</v>
      </c>
      <c r="J28" s="6" t="s">
        <v>34</v>
      </c>
      <c r="K28" s="4" t="s">
        <v>35</v>
      </c>
      <c r="L28" s="6" t="s">
        <v>401</v>
      </c>
      <c r="M28" s="7" t="s">
        <v>162</v>
      </c>
      <c r="N28" s="6" t="s">
        <v>37</v>
      </c>
      <c r="O28" s="7"/>
      <c r="P28" s="7"/>
      <c r="Q28" s="4" t="s">
        <v>35</v>
      </c>
      <c r="R28" s="7"/>
      <c r="S28" s="7"/>
      <c r="T28" s="7"/>
    </row>
    <row r="29" spans="1:20" ht="39.950000000000003" customHeight="1" x14ac:dyDescent="0.3">
      <c r="A29" s="6" t="s">
        <v>202</v>
      </c>
      <c r="B29" s="6" t="s">
        <v>126</v>
      </c>
      <c r="C29" s="7" t="s">
        <v>155</v>
      </c>
      <c r="D29" s="7" t="s">
        <v>192</v>
      </c>
      <c r="E29" s="7" t="s">
        <v>203</v>
      </c>
      <c r="F29" s="7" t="s">
        <v>204</v>
      </c>
      <c r="G29" s="7" t="s">
        <v>205</v>
      </c>
      <c r="H29" s="7" t="s">
        <v>206</v>
      </c>
      <c r="I29" s="7" t="s">
        <v>207</v>
      </c>
      <c r="J29" s="6" t="s">
        <v>34</v>
      </c>
      <c r="K29" s="4" t="s">
        <v>35</v>
      </c>
      <c r="L29" s="6" t="s">
        <v>401</v>
      </c>
      <c r="M29" s="7" t="s">
        <v>162</v>
      </c>
      <c r="N29" s="6" t="s">
        <v>37</v>
      </c>
      <c r="O29" s="7"/>
      <c r="P29" s="7"/>
      <c r="Q29" s="4" t="s">
        <v>35</v>
      </c>
      <c r="R29" s="7"/>
      <c r="S29" s="7"/>
      <c r="T29" s="7"/>
    </row>
    <row r="30" spans="1:20" ht="39.950000000000003" customHeight="1" x14ac:dyDescent="0.3">
      <c r="A30" s="6" t="s">
        <v>208</v>
      </c>
      <c r="B30" s="6" t="s">
        <v>126</v>
      </c>
      <c r="C30" s="7" t="s">
        <v>155</v>
      </c>
      <c r="D30" s="7" t="s">
        <v>192</v>
      </c>
      <c r="E30" s="7" t="s">
        <v>209</v>
      </c>
      <c r="F30" s="7" t="s">
        <v>210</v>
      </c>
      <c r="G30" s="7" t="s">
        <v>211</v>
      </c>
      <c r="H30" s="7" t="s">
        <v>212</v>
      </c>
      <c r="I30" s="7" t="s">
        <v>213</v>
      </c>
      <c r="J30" s="6" t="s">
        <v>34</v>
      </c>
      <c r="K30" s="4" t="s">
        <v>35</v>
      </c>
      <c r="L30" s="6" t="s">
        <v>401</v>
      </c>
      <c r="M30" s="7" t="s">
        <v>162</v>
      </c>
      <c r="N30" s="5" t="s">
        <v>90</v>
      </c>
      <c r="O30" s="7" t="s">
        <v>111</v>
      </c>
      <c r="P30" s="7" t="s">
        <v>214</v>
      </c>
      <c r="Q30" s="4" t="s">
        <v>35</v>
      </c>
      <c r="R30" s="7"/>
      <c r="S30" s="7"/>
      <c r="T30" s="7"/>
    </row>
    <row r="31" spans="1:20" ht="39.950000000000003" customHeight="1" x14ac:dyDescent="0.3">
      <c r="A31" s="6" t="s">
        <v>215</v>
      </c>
      <c r="B31" s="6" t="s">
        <v>126</v>
      </c>
      <c r="C31" s="7" t="s">
        <v>155</v>
      </c>
      <c r="D31" s="7" t="s">
        <v>216</v>
      </c>
      <c r="E31" s="7" t="s">
        <v>217</v>
      </c>
      <c r="F31" s="7" t="s">
        <v>218</v>
      </c>
      <c r="G31" s="7" t="s">
        <v>219</v>
      </c>
      <c r="H31" s="7" t="s">
        <v>220</v>
      </c>
      <c r="I31" s="7" t="s">
        <v>221</v>
      </c>
      <c r="J31" s="6" t="s">
        <v>34</v>
      </c>
      <c r="K31" s="4" t="s">
        <v>35</v>
      </c>
      <c r="L31" s="6" t="s">
        <v>401</v>
      </c>
      <c r="M31" s="7" t="s">
        <v>162</v>
      </c>
      <c r="N31" s="5" t="s">
        <v>90</v>
      </c>
      <c r="O31" s="7" t="s">
        <v>222</v>
      </c>
      <c r="P31" s="7" t="s">
        <v>223</v>
      </c>
      <c r="Q31" s="4" t="s">
        <v>35</v>
      </c>
      <c r="R31" s="7"/>
      <c r="S31" s="7"/>
      <c r="T31" s="7"/>
    </row>
    <row r="32" spans="1:20" ht="39.950000000000003" customHeight="1" x14ac:dyDescent="0.3">
      <c r="A32" s="6" t="s">
        <v>224</v>
      </c>
      <c r="B32" s="6" t="s">
        <v>126</v>
      </c>
      <c r="C32" s="7" t="s">
        <v>155</v>
      </c>
      <c r="D32" s="7" t="s">
        <v>216</v>
      </c>
      <c r="E32" s="7" t="s">
        <v>225</v>
      </c>
      <c r="F32" s="7" t="s">
        <v>226</v>
      </c>
      <c r="G32" s="7" t="s">
        <v>227</v>
      </c>
      <c r="H32" s="7" t="s">
        <v>228</v>
      </c>
      <c r="I32" s="7" t="s">
        <v>229</v>
      </c>
      <c r="J32" s="6" t="s">
        <v>34</v>
      </c>
      <c r="K32" s="4" t="s">
        <v>35</v>
      </c>
      <c r="L32" s="6" t="s">
        <v>401</v>
      </c>
      <c r="M32" s="7" t="s">
        <v>162</v>
      </c>
      <c r="N32" s="6" t="s">
        <v>37</v>
      </c>
      <c r="O32" s="7"/>
      <c r="P32" s="7"/>
      <c r="Q32" s="4" t="s">
        <v>35</v>
      </c>
      <c r="R32" s="7"/>
      <c r="S32" s="7"/>
      <c r="T32" s="7"/>
    </row>
    <row r="33" spans="1:20" ht="39.950000000000003" customHeight="1" x14ac:dyDescent="0.3">
      <c r="A33" s="8" t="s">
        <v>230</v>
      </c>
      <c r="B33" s="8" t="s">
        <v>231</v>
      </c>
      <c r="C33" s="9" t="s">
        <v>232</v>
      </c>
      <c r="D33" s="9" t="s">
        <v>233</v>
      </c>
      <c r="E33" s="9" t="s">
        <v>234</v>
      </c>
      <c r="F33" s="9" t="s">
        <v>235</v>
      </c>
      <c r="G33" s="9" t="s">
        <v>236</v>
      </c>
      <c r="H33" s="9" t="s">
        <v>237</v>
      </c>
      <c r="I33" s="9" t="s">
        <v>238</v>
      </c>
      <c r="J33" s="8" t="s">
        <v>34</v>
      </c>
      <c r="K33" s="4" t="s">
        <v>35</v>
      </c>
      <c r="L33" s="8" t="s">
        <v>401</v>
      </c>
      <c r="M33" s="9" t="s">
        <v>239</v>
      </c>
      <c r="N33" s="8" t="s">
        <v>37</v>
      </c>
      <c r="O33" s="9"/>
      <c r="P33" s="9"/>
      <c r="Q33" s="4" t="s">
        <v>35</v>
      </c>
      <c r="R33" s="9"/>
      <c r="S33" s="9"/>
      <c r="T33" s="9"/>
    </row>
    <row r="34" spans="1:20" ht="39.950000000000003" customHeight="1" x14ac:dyDescent="0.3">
      <c r="A34" s="8" t="s">
        <v>240</v>
      </c>
      <c r="B34" s="8" t="s">
        <v>231</v>
      </c>
      <c r="C34" s="9" t="s">
        <v>232</v>
      </c>
      <c r="D34" s="9" t="s">
        <v>233</v>
      </c>
      <c r="E34" s="9" t="s">
        <v>241</v>
      </c>
      <c r="F34" s="9" t="s">
        <v>242</v>
      </c>
      <c r="G34" s="9" t="s">
        <v>243</v>
      </c>
      <c r="H34" s="9" t="s">
        <v>244</v>
      </c>
      <c r="I34" s="9" t="s">
        <v>245</v>
      </c>
      <c r="J34" s="8" t="s">
        <v>34</v>
      </c>
      <c r="K34" s="4" t="s">
        <v>35</v>
      </c>
      <c r="L34" s="8" t="s">
        <v>401</v>
      </c>
      <c r="M34" s="9" t="s">
        <v>239</v>
      </c>
      <c r="N34" s="8" t="s">
        <v>37</v>
      </c>
      <c r="O34" s="9"/>
      <c r="P34" s="9"/>
      <c r="Q34" s="4" t="s">
        <v>35</v>
      </c>
      <c r="R34" s="9"/>
      <c r="S34" s="9"/>
      <c r="T34" s="9"/>
    </row>
    <row r="35" spans="1:20" ht="39.950000000000003" customHeight="1" x14ac:dyDescent="0.3">
      <c r="A35" s="8" t="s">
        <v>246</v>
      </c>
      <c r="B35" s="8" t="s">
        <v>231</v>
      </c>
      <c r="C35" s="9" t="s">
        <v>232</v>
      </c>
      <c r="D35" s="9" t="s">
        <v>233</v>
      </c>
      <c r="E35" s="9" t="s">
        <v>247</v>
      </c>
      <c r="F35" s="9" t="s">
        <v>248</v>
      </c>
      <c r="G35" s="9" t="s">
        <v>249</v>
      </c>
      <c r="H35" s="9" t="s">
        <v>250</v>
      </c>
      <c r="I35" s="9" t="s">
        <v>251</v>
      </c>
      <c r="J35" s="8" t="s">
        <v>34</v>
      </c>
      <c r="K35" s="4" t="s">
        <v>35</v>
      </c>
      <c r="L35" s="8" t="s">
        <v>401</v>
      </c>
      <c r="M35" s="9" t="s">
        <v>239</v>
      </c>
      <c r="N35" s="8" t="s">
        <v>37</v>
      </c>
      <c r="O35" s="9"/>
      <c r="P35" s="9"/>
      <c r="Q35" s="4" t="s">
        <v>35</v>
      </c>
      <c r="R35" s="9"/>
      <c r="S35" s="9"/>
      <c r="T35" s="9"/>
    </row>
    <row r="36" spans="1:20" ht="39.950000000000003" customHeight="1" x14ac:dyDescent="0.3">
      <c r="A36" s="8" t="s">
        <v>252</v>
      </c>
      <c r="B36" s="8" t="s">
        <v>231</v>
      </c>
      <c r="C36" s="9" t="s">
        <v>232</v>
      </c>
      <c r="D36" s="9" t="s">
        <v>253</v>
      </c>
      <c r="E36" s="9" t="s">
        <v>254</v>
      </c>
      <c r="F36" s="9" t="s">
        <v>255</v>
      </c>
      <c r="G36" s="9" t="s">
        <v>256</v>
      </c>
      <c r="H36" s="9" t="s">
        <v>257</v>
      </c>
      <c r="I36" s="9" t="s">
        <v>258</v>
      </c>
      <c r="J36" s="8" t="s">
        <v>34</v>
      </c>
      <c r="K36" s="4" t="s">
        <v>35</v>
      </c>
      <c r="L36" s="8" t="s">
        <v>401</v>
      </c>
      <c r="M36" s="9" t="s">
        <v>239</v>
      </c>
      <c r="N36" s="8" t="s">
        <v>37</v>
      </c>
      <c r="O36" s="9"/>
      <c r="P36" s="9"/>
      <c r="Q36" s="4" t="s">
        <v>35</v>
      </c>
      <c r="R36" s="9"/>
      <c r="S36" s="9"/>
      <c r="T36" s="9"/>
    </row>
    <row r="37" spans="1:20" ht="39.950000000000003" customHeight="1" x14ac:dyDescent="0.3">
      <c r="A37" s="6" t="s">
        <v>259</v>
      </c>
      <c r="B37" s="6" t="s">
        <v>126</v>
      </c>
      <c r="C37" s="7" t="s">
        <v>260</v>
      </c>
      <c r="D37" s="7" t="s">
        <v>261</v>
      </c>
      <c r="E37" s="7" t="s">
        <v>262</v>
      </c>
      <c r="F37" s="7" t="s">
        <v>263</v>
      </c>
      <c r="G37" s="7" t="s">
        <v>264</v>
      </c>
      <c r="H37" s="7" t="s">
        <v>265</v>
      </c>
      <c r="I37" s="7" t="s">
        <v>266</v>
      </c>
      <c r="J37" s="6" t="s">
        <v>34</v>
      </c>
      <c r="K37" s="4" t="s">
        <v>35</v>
      </c>
      <c r="L37" s="6" t="s">
        <v>401</v>
      </c>
      <c r="M37" s="7" t="s">
        <v>267</v>
      </c>
      <c r="N37" s="6" t="s">
        <v>37</v>
      </c>
      <c r="O37" s="7"/>
      <c r="P37" s="7"/>
      <c r="Q37" s="4" t="s">
        <v>35</v>
      </c>
      <c r="R37" s="7"/>
      <c r="S37" s="7"/>
      <c r="T37" s="7"/>
    </row>
    <row r="38" spans="1:20" ht="39.950000000000003" customHeight="1" x14ac:dyDescent="0.3">
      <c r="A38" s="6" t="s">
        <v>268</v>
      </c>
      <c r="B38" s="6" t="s">
        <v>126</v>
      </c>
      <c r="C38" s="7" t="s">
        <v>260</v>
      </c>
      <c r="D38" s="7" t="s">
        <v>269</v>
      </c>
      <c r="E38" s="7" t="s">
        <v>270</v>
      </c>
      <c r="F38" s="7" t="s">
        <v>271</v>
      </c>
      <c r="G38" s="7" t="s">
        <v>272</v>
      </c>
      <c r="H38" s="7" t="s">
        <v>273</v>
      </c>
      <c r="I38" s="7" t="s">
        <v>274</v>
      </c>
      <c r="J38" s="6" t="s">
        <v>34</v>
      </c>
      <c r="K38" s="4" t="s">
        <v>35</v>
      </c>
      <c r="L38" s="6" t="s">
        <v>401</v>
      </c>
      <c r="M38" s="7" t="s">
        <v>267</v>
      </c>
      <c r="N38" s="6" t="s">
        <v>37</v>
      </c>
      <c r="O38" s="7"/>
      <c r="P38" s="7"/>
      <c r="Q38" s="4" t="s">
        <v>35</v>
      </c>
      <c r="R38" s="7"/>
      <c r="S38" s="7"/>
      <c r="T38" s="7"/>
    </row>
    <row r="39" spans="1:20" ht="39.950000000000003" customHeight="1" x14ac:dyDescent="0.3">
      <c r="A39" s="6" t="s">
        <v>275</v>
      </c>
      <c r="B39" s="6" t="s">
        <v>126</v>
      </c>
      <c r="C39" s="7" t="s">
        <v>260</v>
      </c>
      <c r="D39" s="7" t="s">
        <v>276</v>
      </c>
      <c r="E39" s="7" t="s">
        <v>277</v>
      </c>
      <c r="F39" s="7" t="s">
        <v>278</v>
      </c>
      <c r="G39" s="7" t="s">
        <v>279</v>
      </c>
      <c r="H39" s="7" t="s">
        <v>273</v>
      </c>
      <c r="I39" s="7" t="s">
        <v>280</v>
      </c>
      <c r="J39" s="6" t="s">
        <v>34</v>
      </c>
      <c r="K39" s="4" t="s">
        <v>35</v>
      </c>
      <c r="L39" s="6" t="s">
        <v>401</v>
      </c>
      <c r="M39" s="7" t="s">
        <v>267</v>
      </c>
      <c r="N39" s="6" t="s">
        <v>37</v>
      </c>
      <c r="O39" s="7"/>
      <c r="P39" s="7"/>
      <c r="Q39" s="4" t="s">
        <v>35</v>
      </c>
      <c r="R39" s="7"/>
      <c r="S39" s="7"/>
      <c r="T39" s="7"/>
    </row>
    <row r="40" spans="1:20" ht="39.950000000000003" customHeight="1" x14ac:dyDescent="0.3">
      <c r="A40" s="6" t="s">
        <v>281</v>
      </c>
      <c r="B40" s="6" t="s">
        <v>126</v>
      </c>
      <c r="C40" s="7" t="s">
        <v>260</v>
      </c>
      <c r="D40" s="7" t="s">
        <v>282</v>
      </c>
      <c r="E40" s="7" t="s">
        <v>283</v>
      </c>
      <c r="F40" s="7" t="s">
        <v>284</v>
      </c>
      <c r="G40" s="7" t="s">
        <v>285</v>
      </c>
      <c r="H40" s="7" t="s">
        <v>286</v>
      </c>
      <c r="I40" s="7" t="s">
        <v>287</v>
      </c>
      <c r="J40" s="6" t="s">
        <v>34</v>
      </c>
      <c r="K40" s="4" t="s">
        <v>35</v>
      </c>
      <c r="L40" s="6" t="s">
        <v>401</v>
      </c>
      <c r="M40" s="7" t="s">
        <v>267</v>
      </c>
      <c r="N40" s="6" t="s">
        <v>37</v>
      </c>
      <c r="O40" s="7"/>
      <c r="P40" s="7"/>
      <c r="Q40" s="4" t="s">
        <v>35</v>
      </c>
      <c r="R40" s="7"/>
      <c r="S40" s="7"/>
      <c r="T40" s="7"/>
    </row>
    <row r="41" spans="1:20" ht="39.950000000000003" customHeight="1" x14ac:dyDescent="0.3">
      <c r="A41" s="10" t="s">
        <v>288</v>
      </c>
      <c r="B41" s="10" t="s">
        <v>289</v>
      </c>
      <c r="C41" s="11" t="s">
        <v>290</v>
      </c>
      <c r="D41" s="11" t="s">
        <v>291</v>
      </c>
      <c r="E41" s="11" t="s">
        <v>292</v>
      </c>
      <c r="F41" s="11" t="s">
        <v>293</v>
      </c>
      <c r="G41" s="11" t="s">
        <v>294</v>
      </c>
      <c r="H41" s="11" t="s">
        <v>295</v>
      </c>
      <c r="I41" s="11" t="s">
        <v>296</v>
      </c>
      <c r="J41" s="10" t="s">
        <v>297</v>
      </c>
      <c r="K41" s="4" t="s">
        <v>35</v>
      </c>
      <c r="L41" s="10" t="s">
        <v>401</v>
      </c>
      <c r="M41" s="11" t="s">
        <v>298</v>
      </c>
      <c r="N41" s="5" t="s">
        <v>90</v>
      </c>
      <c r="O41" s="11" t="s">
        <v>299</v>
      </c>
      <c r="P41" s="11" t="s">
        <v>300</v>
      </c>
      <c r="Q41" s="4" t="s">
        <v>35</v>
      </c>
      <c r="R41" s="11"/>
      <c r="S41" s="11"/>
      <c r="T41" s="11"/>
    </row>
    <row r="42" spans="1:20" ht="39.950000000000003" customHeight="1" x14ac:dyDescent="0.3">
      <c r="A42" s="10" t="s">
        <v>301</v>
      </c>
      <c r="B42" s="10" t="s">
        <v>289</v>
      </c>
      <c r="C42" s="11" t="s">
        <v>290</v>
      </c>
      <c r="D42" s="11" t="s">
        <v>291</v>
      </c>
      <c r="E42" s="11" t="s">
        <v>302</v>
      </c>
      <c r="F42" s="11" t="s">
        <v>303</v>
      </c>
      <c r="G42" s="11" t="s">
        <v>304</v>
      </c>
      <c r="H42" s="11" t="s">
        <v>305</v>
      </c>
      <c r="I42" s="11" t="s">
        <v>306</v>
      </c>
      <c r="J42" s="10" t="s">
        <v>297</v>
      </c>
      <c r="K42" s="4" t="s">
        <v>35</v>
      </c>
      <c r="L42" s="10" t="s">
        <v>401</v>
      </c>
      <c r="M42" s="11" t="s">
        <v>298</v>
      </c>
      <c r="N42" s="5" t="s">
        <v>90</v>
      </c>
      <c r="O42" s="11" t="s">
        <v>299</v>
      </c>
      <c r="P42" s="11" t="s">
        <v>307</v>
      </c>
      <c r="Q42" s="4" t="s">
        <v>35</v>
      </c>
      <c r="R42" s="11"/>
      <c r="S42" s="11"/>
      <c r="T42" s="11"/>
    </row>
    <row r="43" spans="1:20" ht="39.950000000000003" customHeight="1" x14ac:dyDescent="0.3">
      <c r="A43" s="10" t="s">
        <v>308</v>
      </c>
      <c r="B43" s="10" t="s">
        <v>289</v>
      </c>
      <c r="C43" s="11" t="s">
        <v>290</v>
      </c>
      <c r="D43" s="11" t="s">
        <v>309</v>
      </c>
      <c r="E43" s="11" t="s">
        <v>310</v>
      </c>
      <c r="F43" s="11" t="s">
        <v>311</v>
      </c>
      <c r="G43" s="11" t="s">
        <v>312</v>
      </c>
      <c r="H43" s="11" t="s">
        <v>313</v>
      </c>
      <c r="I43" s="11" t="s">
        <v>314</v>
      </c>
      <c r="J43" s="10" t="s">
        <v>297</v>
      </c>
      <c r="K43" s="4" t="s">
        <v>35</v>
      </c>
      <c r="L43" s="10" t="s">
        <v>401</v>
      </c>
      <c r="M43" s="11" t="s">
        <v>298</v>
      </c>
      <c r="N43" s="5" t="s">
        <v>90</v>
      </c>
      <c r="O43" s="11" t="s">
        <v>299</v>
      </c>
      <c r="P43" s="11" t="s">
        <v>315</v>
      </c>
      <c r="Q43" s="4" t="s">
        <v>35</v>
      </c>
      <c r="R43" s="11"/>
      <c r="S43" s="11"/>
      <c r="T43" s="11"/>
    </row>
    <row r="44" spans="1:20" ht="39.950000000000003" customHeight="1" x14ac:dyDescent="0.3">
      <c r="A44" s="10" t="s">
        <v>316</v>
      </c>
      <c r="B44" s="10" t="s">
        <v>289</v>
      </c>
      <c r="C44" s="11" t="s">
        <v>317</v>
      </c>
      <c r="D44" s="11" t="s">
        <v>318</v>
      </c>
      <c r="E44" s="11" t="s">
        <v>319</v>
      </c>
      <c r="F44" s="11" t="s">
        <v>320</v>
      </c>
      <c r="G44" s="11" t="s">
        <v>321</v>
      </c>
      <c r="H44" s="11" t="s">
        <v>322</v>
      </c>
      <c r="I44" s="11" t="s">
        <v>323</v>
      </c>
      <c r="J44" s="10" t="s">
        <v>297</v>
      </c>
      <c r="K44" s="4" t="s">
        <v>35</v>
      </c>
      <c r="L44" s="10" t="s">
        <v>401</v>
      </c>
      <c r="M44" s="11" t="s">
        <v>324</v>
      </c>
      <c r="N44" s="5" t="s">
        <v>90</v>
      </c>
      <c r="O44" s="11" t="s">
        <v>325</v>
      </c>
      <c r="P44" s="11" t="s">
        <v>326</v>
      </c>
      <c r="Q44" s="4" t="s">
        <v>35</v>
      </c>
      <c r="R44" s="11"/>
      <c r="S44" s="11"/>
      <c r="T44" s="11"/>
    </row>
    <row r="45" spans="1:20" ht="39.950000000000003" customHeight="1" x14ac:dyDescent="0.3">
      <c r="A45" s="10" t="s">
        <v>327</v>
      </c>
      <c r="B45" s="10" t="s">
        <v>289</v>
      </c>
      <c r="C45" s="11" t="s">
        <v>317</v>
      </c>
      <c r="D45" s="11" t="s">
        <v>328</v>
      </c>
      <c r="E45" s="11" t="s">
        <v>329</v>
      </c>
      <c r="F45" s="11" t="s">
        <v>330</v>
      </c>
      <c r="G45" s="11" t="s">
        <v>331</v>
      </c>
      <c r="H45" s="11" t="s">
        <v>332</v>
      </c>
      <c r="I45" s="11" t="s">
        <v>333</v>
      </c>
      <c r="J45" s="10" t="s">
        <v>297</v>
      </c>
      <c r="K45" s="4" t="s">
        <v>35</v>
      </c>
      <c r="L45" s="10" t="s">
        <v>401</v>
      </c>
      <c r="M45" s="11" t="s">
        <v>324</v>
      </c>
      <c r="N45" s="10" t="s">
        <v>37</v>
      </c>
      <c r="O45" s="11"/>
      <c r="P45" s="11"/>
      <c r="Q45" s="4" t="s">
        <v>35</v>
      </c>
      <c r="R45" s="11"/>
      <c r="S45" s="11"/>
      <c r="T45" s="11"/>
    </row>
    <row r="46" spans="1:20" ht="39.950000000000003" customHeight="1" x14ac:dyDescent="0.3">
      <c r="A46" s="10" t="s">
        <v>334</v>
      </c>
      <c r="B46" s="10" t="s">
        <v>289</v>
      </c>
      <c r="C46" s="11" t="s">
        <v>317</v>
      </c>
      <c r="D46" s="11" t="s">
        <v>335</v>
      </c>
      <c r="E46" s="11" t="s">
        <v>336</v>
      </c>
      <c r="F46" s="11" t="s">
        <v>337</v>
      </c>
      <c r="G46" s="11" t="s">
        <v>338</v>
      </c>
      <c r="H46" s="11" t="s">
        <v>339</v>
      </c>
      <c r="I46" s="11" t="s">
        <v>340</v>
      </c>
      <c r="J46" s="10" t="s">
        <v>297</v>
      </c>
      <c r="K46" s="4" t="s">
        <v>35</v>
      </c>
      <c r="L46" s="10" t="s">
        <v>401</v>
      </c>
      <c r="M46" s="11" t="s">
        <v>324</v>
      </c>
      <c r="N46" s="10" t="s">
        <v>37</v>
      </c>
      <c r="O46" s="11"/>
      <c r="P46" s="11"/>
      <c r="Q46" s="4" t="s">
        <v>35</v>
      </c>
      <c r="R46" s="11"/>
      <c r="S46" s="11"/>
      <c r="T46" s="11"/>
    </row>
    <row r="47" spans="1:20" ht="39.950000000000003" customHeight="1" x14ac:dyDescent="0.3">
      <c r="A47" s="10" t="s">
        <v>341</v>
      </c>
      <c r="B47" s="10" t="s">
        <v>289</v>
      </c>
      <c r="C47" s="11" t="s">
        <v>317</v>
      </c>
      <c r="D47" s="11" t="s">
        <v>342</v>
      </c>
      <c r="E47" s="11" t="s">
        <v>343</v>
      </c>
      <c r="F47" s="11" t="s">
        <v>344</v>
      </c>
      <c r="G47" s="11" t="s">
        <v>345</v>
      </c>
      <c r="H47" s="11" t="s">
        <v>346</v>
      </c>
      <c r="I47" s="11" t="s">
        <v>347</v>
      </c>
      <c r="J47" s="10" t="s">
        <v>297</v>
      </c>
      <c r="K47" s="4" t="s">
        <v>35</v>
      </c>
      <c r="L47" s="10" t="s">
        <v>401</v>
      </c>
      <c r="M47" s="11" t="s">
        <v>324</v>
      </c>
      <c r="N47" s="10" t="s">
        <v>37</v>
      </c>
      <c r="O47" s="11"/>
      <c r="P47" s="11"/>
      <c r="Q47" s="4" t="s">
        <v>35</v>
      </c>
      <c r="R47" s="11"/>
      <c r="S47" s="11"/>
      <c r="T47" s="11"/>
    </row>
  </sheetData>
  <mergeCells count="5">
    <mergeCell ref="A1:D1"/>
    <mergeCell ref="E1:I1"/>
    <mergeCell ref="Q1:T1"/>
    <mergeCell ref="N1:P1"/>
    <mergeCell ref="J1:M1"/>
  </mergeCells>
  <phoneticPr fontId="6" type="noConversion"/>
  <dataValidations count="2">
    <dataValidation type="list" allowBlank="1" sqref="K3:K47 Q3:Q47" xr:uid="{00000000-0002-0000-0000-000000000000}">
      <formula1>"대기,통과,실패,보류"</formula1>
    </dataValidation>
    <dataValidation type="list" allowBlank="1" sqref="N3:N47" xr:uid="{00000000-0002-0000-0000-000001000000}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sqref="A1:F1"/>
    </sheetView>
  </sheetViews>
  <sheetFormatPr defaultRowHeight="16.5" x14ac:dyDescent="0.3"/>
  <cols>
    <col min="1" max="1" width="20" customWidth="1"/>
    <col min="2" max="5" width="12" customWidth="1"/>
    <col min="6" max="6" width="18" customWidth="1"/>
  </cols>
  <sheetData>
    <row r="1" spans="1:6" ht="27.95" customHeight="1" x14ac:dyDescent="0.3">
      <c r="A1" s="35" t="s">
        <v>348</v>
      </c>
      <c r="B1" s="36"/>
      <c r="C1" s="36"/>
      <c r="D1" s="36"/>
      <c r="E1" s="36"/>
      <c r="F1" s="36"/>
    </row>
    <row r="3" spans="1:6" ht="24" customHeight="1" x14ac:dyDescent="0.3">
      <c r="A3" s="1" t="s">
        <v>6</v>
      </c>
      <c r="B3" s="1" t="s">
        <v>349</v>
      </c>
      <c r="C3" s="1" t="s">
        <v>35</v>
      </c>
      <c r="D3" s="1" t="s">
        <v>350</v>
      </c>
      <c r="E3" s="1" t="s">
        <v>351</v>
      </c>
      <c r="F3" s="1" t="s">
        <v>352</v>
      </c>
    </row>
    <row r="4" spans="1:6" ht="21.95" customHeight="1" x14ac:dyDescent="0.3">
      <c r="A4" s="12" t="s">
        <v>26</v>
      </c>
      <c r="B4" s="13">
        <f>COUNTIF('테스트 케이스 매트릭스'!B:B,A4)</f>
        <v>15</v>
      </c>
      <c r="C4" s="14">
        <f>COUNTIFS('테스트 케이스 매트릭스'!B:B,A4,'테스트 케이스 매트릭스'!Q:Q,"대기")</f>
        <v>15</v>
      </c>
      <c r="D4" s="15">
        <f>COUNTIFS('테스트 케이스 매트릭스'!B:B,A4,'테스트 케이스 매트릭스'!Q:Q,"통과")</f>
        <v>0</v>
      </c>
      <c r="E4" s="16">
        <f>COUNTIFS('테스트 케이스 매트릭스'!B:B,A4,'테스트 케이스 매트릭스'!Q:Q,"실패")</f>
        <v>0</v>
      </c>
      <c r="F4" s="17">
        <f>IFERROR(D4/B4,0)</f>
        <v>0</v>
      </c>
    </row>
    <row r="5" spans="1:6" ht="21.95" customHeight="1" x14ac:dyDescent="0.3">
      <c r="A5" s="18" t="s">
        <v>126</v>
      </c>
      <c r="B5" s="13">
        <f>COUNTIF('테스트 케이스 매트릭스'!B:B,A5)</f>
        <v>19</v>
      </c>
      <c r="C5" s="14">
        <f>COUNTIFS('테스트 케이스 매트릭스'!B:B,A5,'테스트 케이스 매트릭스'!Q:Q,"대기")</f>
        <v>19</v>
      </c>
      <c r="D5" s="15">
        <f>COUNTIFS('테스트 케이스 매트릭스'!B:B,A5,'테스트 케이스 매트릭스'!Q:Q,"통과")</f>
        <v>0</v>
      </c>
      <c r="E5" s="16">
        <f>COUNTIFS('테스트 케이스 매트릭스'!B:B,A5,'테스트 케이스 매트릭스'!Q:Q,"실패")</f>
        <v>0</v>
      </c>
      <c r="F5" s="17">
        <f>IFERROR(D5/B5,0)</f>
        <v>0</v>
      </c>
    </row>
    <row r="6" spans="1:6" ht="21.95" customHeight="1" x14ac:dyDescent="0.3">
      <c r="A6" s="19" t="s">
        <v>231</v>
      </c>
      <c r="B6" s="13">
        <f>COUNTIF('테스트 케이스 매트릭스'!B:B,A6)</f>
        <v>4</v>
      </c>
      <c r="C6" s="14">
        <f>COUNTIFS('테스트 케이스 매트릭스'!B:B,A6,'테스트 케이스 매트릭스'!Q:Q,"대기")</f>
        <v>4</v>
      </c>
      <c r="D6" s="15">
        <f>COUNTIFS('테스트 케이스 매트릭스'!B:B,A6,'테스트 케이스 매트릭스'!Q:Q,"통과")</f>
        <v>0</v>
      </c>
      <c r="E6" s="16">
        <f>COUNTIFS('테스트 케이스 매트릭스'!B:B,A6,'테스트 케이스 매트릭스'!Q:Q,"실패")</f>
        <v>0</v>
      </c>
      <c r="F6" s="17">
        <f>IFERROR(D6/B6,0)</f>
        <v>0</v>
      </c>
    </row>
    <row r="7" spans="1:6" ht="21.95" customHeight="1" x14ac:dyDescent="0.3">
      <c r="A7" s="20" t="s">
        <v>289</v>
      </c>
      <c r="B7" s="13">
        <f>COUNTIF('테스트 케이스 매트릭스'!B:B,A7)</f>
        <v>7</v>
      </c>
      <c r="C7" s="14">
        <f>COUNTIFS('테스트 케이스 매트릭스'!B:B,A7,'테스트 케이스 매트릭스'!Q:Q,"대기")</f>
        <v>7</v>
      </c>
      <c r="D7" s="15">
        <f>COUNTIFS('테스트 케이스 매트릭스'!B:B,A7,'테스트 케이스 매트릭스'!Q:Q,"통과")</f>
        <v>0</v>
      </c>
      <c r="E7" s="16">
        <f>COUNTIFS('테스트 케이스 매트릭스'!B:B,A7,'테스트 케이스 매트릭스'!Q:Q,"실패")</f>
        <v>0</v>
      </c>
      <c r="F7" s="17">
        <f>IFERROR(D7/B7,0)</f>
        <v>0</v>
      </c>
    </row>
    <row r="8" spans="1:6" ht="21.95" customHeight="1" x14ac:dyDescent="0.3">
      <c r="A8" s="21" t="s">
        <v>353</v>
      </c>
      <c r="B8" s="22">
        <f>SUM(B4:B7)</f>
        <v>45</v>
      </c>
      <c r="C8" s="22">
        <f>SUM(C4:C7)</f>
        <v>45</v>
      </c>
      <c r="D8" s="22">
        <f>SUM(D4:D7)</f>
        <v>0</v>
      </c>
      <c r="E8" s="22">
        <f>SUM(E4:E7)</f>
        <v>0</v>
      </c>
      <c r="F8" s="23">
        <f>IFERROR(D8/B8,0)</f>
        <v>0</v>
      </c>
    </row>
    <row r="10" spans="1:6" x14ac:dyDescent="0.3">
      <c r="A10" s="37" t="s">
        <v>354</v>
      </c>
      <c r="B10" s="36"/>
      <c r="C10" s="36"/>
      <c r="D10" s="36"/>
      <c r="E10" s="36"/>
      <c r="F10" s="36"/>
    </row>
    <row r="11" spans="1:6" ht="21.95" customHeight="1" x14ac:dyDescent="0.3">
      <c r="A11" s="24" t="s">
        <v>355</v>
      </c>
      <c r="B11" s="25">
        <f>COUNTIF('테스트 케이스 매트릭스'!N:N,"Y")</f>
        <v>14</v>
      </c>
    </row>
  </sheetData>
  <mergeCells count="2">
    <mergeCell ref="A1:F1"/>
    <mergeCell ref="A10:F10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selection sqref="A1:D1"/>
    </sheetView>
  </sheetViews>
  <sheetFormatPr defaultRowHeight="16.5" x14ac:dyDescent="0.3"/>
  <cols>
    <col min="1" max="1" width="22" customWidth="1"/>
    <col min="2" max="2" width="16" customWidth="1"/>
    <col min="3" max="3" width="45" customWidth="1"/>
    <col min="4" max="4" width="35" customWidth="1"/>
  </cols>
  <sheetData>
    <row r="1" spans="1:4" ht="27.95" customHeight="1" x14ac:dyDescent="0.3">
      <c r="A1" s="38" t="s">
        <v>356</v>
      </c>
      <c r="B1" s="36"/>
      <c r="C1" s="36"/>
      <c r="D1" s="36"/>
    </row>
    <row r="2" spans="1:4" ht="24" customHeight="1" x14ac:dyDescent="0.3">
      <c r="A2" s="1" t="s">
        <v>357</v>
      </c>
      <c r="B2" s="1" t="s">
        <v>358</v>
      </c>
      <c r="C2" s="1" t="s">
        <v>359</v>
      </c>
      <c r="D2" s="1" t="s">
        <v>360</v>
      </c>
    </row>
    <row r="3" spans="1:4" ht="32.1" customHeight="1" x14ac:dyDescent="0.3">
      <c r="A3" s="26" t="s">
        <v>5</v>
      </c>
      <c r="B3" s="2" t="s">
        <v>0</v>
      </c>
      <c r="C3" s="27" t="s">
        <v>361</v>
      </c>
      <c r="D3" s="28" t="s">
        <v>362</v>
      </c>
    </row>
    <row r="4" spans="1:4" ht="32.1" customHeight="1" x14ac:dyDescent="0.3">
      <c r="A4" s="26" t="s">
        <v>6</v>
      </c>
      <c r="B4" s="2" t="s">
        <v>0</v>
      </c>
      <c r="C4" s="27" t="s">
        <v>363</v>
      </c>
      <c r="D4" s="28" t="s">
        <v>364</v>
      </c>
    </row>
    <row r="5" spans="1:4" ht="32.1" customHeight="1" x14ac:dyDescent="0.3">
      <c r="A5" s="26" t="s">
        <v>7</v>
      </c>
      <c r="B5" s="2" t="s">
        <v>0</v>
      </c>
      <c r="C5" s="27" t="s">
        <v>365</v>
      </c>
      <c r="D5" s="28" t="s">
        <v>366</v>
      </c>
    </row>
    <row r="6" spans="1:4" ht="32.1" customHeight="1" x14ac:dyDescent="0.3">
      <c r="A6" s="26" t="s">
        <v>8</v>
      </c>
      <c r="B6" s="2" t="s">
        <v>0</v>
      </c>
      <c r="C6" s="27" t="s">
        <v>367</v>
      </c>
      <c r="D6" s="28" t="s">
        <v>368</v>
      </c>
    </row>
    <row r="7" spans="1:4" ht="32.1" customHeight="1" x14ac:dyDescent="0.3">
      <c r="A7" s="29" t="s">
        <v>9</v>
      </c>
      <c r="B7" s="6" t="s">
        <v>1</v>
      </c>
      <c r="C7" s="27" t="s">
        <v>369</v>
      </c>
      <c r="D7" s="28" t="s">
        <v>50</v>
      </c>
    </row>
    <row r="8" spans="1:4" ht="32.1" customHeight="1" x14ac:dyDescent="0.3">
      <c r="A8" s="29" t="s">
        <v>10</v>
      </c>
      <c r="B8" s="6" t="s">
        <v>1</v>
      </c>
      <c r="C8" s="27" t="s">
        <v>370</v>
      </c>
      <c r="D8" s="28" t="s">
        <v>371</v>
      </c>
    </row>
    <row r="9" spans="1:4" ht="32.1" customHeight="1" x14ac:dyDescent="0.3">
      <c r="A9" s="29" t="s">
        <v>11</v>
      </c>
      <c r="B9" s="6" t="s">
        <v>1</v>
      </c>
      <c r="C9" s="27" t="s">
        <v>372</v>
      </c>
      <c r="D9" s="28" t="s">
        <v>46</v>
      </c>
    </row>
    <row r="10" spans="1:4" ht="32.1" customHeight="1" x14ac:dyDescent="0.3">
      <c r="A10" s="29" t="s">
        <v>12</v>
      </c>
      <c r="B10" s="6" t="s">
        <v>1</v>
      </c>
      <c r="C10" s="27" t="s">
        <v>373</v>
      </c>
      <c r="D10" s="28" t="s">
        <v>374</v>
      </c>
    </row>
    <row r="11" spans="1:4" ht="32.1" customHeight="1" x14ac:dyDescent="0.3">
      <c r="A11" s="29" t="s">
        <v>13</v>
      </c>
      <c r="B11" s="6" t="s">
        <v>1</v>
      </c>
      <c r="C11" s="27" t="s">
        <v>375</v>
      </c>
      <c r="D11" s="28" t="s">
        <v>53</v>
      </c>
    </row>
    <row r="12" spans="1:4" ht="32.1" customHeight="1" x14ac:dyDescent="0.3">
      <c r="A12" s="30" t="s">
        <v>14</v>
      </c>
      <c r="B12" s="8" t="s">
        <v>2</v>
      </c>
      <c r="C12" s="27" t="s">
        <v>376</v>
      </c>
      <c r="D12" s="28" t="s">
        <v>377</v>
      </c>
    </row>
    <row r="13" spans="1:4" ht="32.1" customHeight="1" x14ac:dyDescent="0.3">
      <c r="A13" s="30" t="s">
        <v>15</v>
      </c>
      <c r="B13" s="8" t="s">
        <v>2</v>
      </c>
      <c r="C13" s="27" t="s">
        <v>378</v>
      </c>
      <c r="D13" s="28" t="s">
        <v>379</v>
      </c>
    </row>
    <row r="14" spans="1:4" ht="32.1" customHeight="1" x14ac:dyDescent="0.3">
      <c r="A14" s="30" t="s">
        <v>16</v>
      </c>
      <c r="B14" s="8" t="s">
        <v>2</v>
      </c>
      <c r="C14" s="27" t="s">
        <v>380</v>
      </c>
      <c r="D14" s="28" t="s">
        <v>381</v>
      </c>
    </row>
    <row r="15" spans="1:4" ht="32.1" customHeight="1" x14ac:dyDescent="0.3">
      <c r="A15" s="30" t="s">
        <v>17</v>
      </c>
      <c r="B15" s="8" t="s">
        <v>2</v>
      </c>
      <c r="C15" s="27" t="s">
        <v>382</v>
      </c>
      <c r="D15" s="28" t="s">
        <v>36</v>
      </c>
    </row>
    <row r="16" spans="1:4" ht="32.1" customHeight="1" x14ac:dyDescent="0.3">
      <c r="A16" s="31" t="s">
        <v>383</v>
      </c>
      <c r="B16" s="5" t="s">
        <v>384</v>
      </c>
      <c r="C16" s="27" t="s">
        <v>385</v>
      </c>
      <c r="D16" s="28" t="s">
        <v>386</v>
      </c>
    </row>
    <row r="17" spans="1:4" ht="32.1" customHeight="1" x14ac:dyDescent="0.3">
      <c r="A17" s="31" t="s">
        <v>19</v>
      </c>
      <c r="B17" s="5" t="s">
        <v>384</v>
      </c>
      <c r="C17" s="27" t="s">
        <v>387</v>
      </c>
      <c r="D17" s="28" t="s">
        <v>388</v>
      </c>
    </row>
    <row r="18" spans="1:4" ht="32.1" customHeight="1" x14ac:dyDescent="0.3">
      <c r="A18" s="31" t="s">
        <v>20</v>
      </c>
      <c r="B18" s="5" t="s">
        <v>384</v>
      </c>
      <c r="C18" s="27" t="s">
        <v>389</v>
      </c>
      <c r="D18" s="28" t="s">
        <v>92</v>
      </c>
    </row>
    <row r="19" spans="1:4" ht="32.1" customHeight="1" x14ac:dyDescent="0.3">
      <c r="A19" s="32" t="s">
        <v>21</v>
      </c>
      <c r="B19" s="10" t="s">
        <v>390</v>
      </c>
      <c r="C19" s="27" t="s">
        <v>391</v>
      </c>
      <c r="D19" s="28" t="s">
        <v>379</v>
      </c>
    </row>
    <row r="20" spans="1:4" ht="32.1" customHeight="1" x14ac:dyDescent="0.3">
      <c r="A20" s="32" t="s">
        <v>22</v>
      </c>
      <c r="B20" s="10" t="s">
        <v>390</v>
      </c>
      <c r="C20" s="27" t="s">
        <v>392</v>
      </c>
      <c r="D20" s="28" t="s">
        <v>393</v>
      </c>
    </row>
    <row r="21" spans="1:4" ht="32.1" customHeight="1" x14ac:dyDescent="0.3">
      <c r="A21" s="32" t="s">
        <v>23</v>
      </c>
      <c r="B21" s="10" t="s">
        <v>390</v>
      </c>
      <c r="C21" s="27" t="s">
        <v>394</v>
      </c>
      <c r="D21" s="28" t="s">
        <v>395</v>
      </c>
    </row>
    <row r="22" spans="1:4" ht="32.1" customHeight="1" x14ac:dyDescent="0.3">
      <c r="A22" s="32" t="s">
        <v>24</v>
      </c>
      <c r="B22" s="10" t="s">
        <v>390</v>
      </c>
      <c r="C22" s="27" t="s">
        <v>396</v>
      </c>
      <c r="D22" s="28" t="s">
        <v>397</v>
      </c>
    </row>
  </sheetData>
  <mergeCells count="1">
    <mergeCell ref="A1:D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테스트 케이스 매트릭스</vt:lpstr>
      <vt:lpstr>진행 현황</vt:lpstr>
      <vt:lpstr>컬럼 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kcy0122@letech.kr</cp:lastModifiedBy>
  <dcterms:created xsi:type="dcterms:W3CDTF">2026-03-20T07:49:45Z</dcterms:created>
  <dcterms:modified xsi:type="dcterms:W3CDTF">2026-03-23T02:24:13Z</dcterms:modified>
</cp:coreProperties>
</file>